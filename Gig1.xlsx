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Downloads\Hospital ER Project\"/>
    </mc:Choice>
  </mc:AlternateContent>
  <xr:revisionPtr revIDLastSave="0" documentId="13_ncr:1_{7F909C14-AF0C-408E-94CE-C0D2549577BD}" xr6:coauthVersionLast="36" xr6:coauthVersionMax="36" xr10:uidLastSave="{00000000-0000-0000-0000-000000000000}"/>
  <bookViews>
    <workbookView xWindow="0" yWindow="0" windowWidth="20490" windowHeight="8940" xr2:uid="{9C83D230-F2D5-48EF-820F-2C310749A7DA}"/>
  </bookViews>
  <sheets>
    <sheet name="Pivot Report" sheetId="1" r:id="rId1"/>
    <sheet name="Dashboard" sheetId="4" r:id="rId2"/>
    <sheet name="Daily ER No. of Patient" sheetId="5" r:id="rId3"/>
    <sheet name="Daily ER Patient Waittime" sheetId="7" r:id="rId4"/>
    <sheet name="Daily ER Patient Satisfaction" sheetId="8"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b4d1ec2-0d72-41db-8de4-2fd95cb94848" name="Hospital Emergency Room Data" connection="Query - Hospital Emergency Room Data"/>
          <x15:modelTable id="Calender_Table_c8ee5321-3f7c-4f00-8fa7-781a0d695128"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52" i="1" l="1"/>
  <c r="C51" i="1"/>
  <c r="B52" i="1"/>
  <c r="B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965BFD-8DEA-4DFA-A45A-99A910B8C87B}" name="Query - Calender_Table" description="Connection to the 'Calender_Table' query in the workbook." type="100" refreshedVersion="6" minRefreshableVersion="5">
    <extLst>
      <ext xmlns:x15="http://schemas.microsoft.com/office/spreadsheetml/2010/11/main" uri="{DE250136-89BD-433C-8126-D09CA5730AF9}">
        <x15:connection id="ee758ab2-cc25-4ce9-829b-2e78166aef34"/>
      </ext>
    </extLst>
  </connection>
  <connection id="2" xr16:uid="{1CD87D7F-7721-49CA-9B74-58C8E2B5D72E}"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8c153e0b-9fec-4e83-8192-1fb17da341d6"/>
      </ext>
    </extLst>
  </connection>
  <connection id="3" xr16:uid="{78400290-A0D9-40FE-BCA7-EEDEBD05E48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<sst xmlns="http://schemas.openxmlformats.org/spreadsheetml/2006/main" count="157" uniqueCount="75">
  <si>
    <t>Distinct Count of Patient Id</t>
  </si>
  <si>
    <t>Average of Patient Waittime</t>
  </si>
  <si>
    <t>Average of Patient Satisfaction Score</t>
  </si>
  <si>
    <t>Row Labels</t>
  </si>
  <si>
    <t>Grand Total</t>
  </si>
  <si>
    <t>No. of patient</t>
  </si>
  <si>
    <t>Average waittime</t>
  </si>
  <si>
    <t>Pateint Satifaction</t>
  </si>
  <si>
    <t>Count of Patient Admission Flag</t>
  </si>
  <si>
    <t>Admitted</t>
  </si>
  <si>
    <t>Not admitted</t>
  </si>
  <si>
    <t>Count of Patient Admission Flag2</t>
  </si>
  <si>
    <t>Admission Status</t>
  </si>
  <si>
    <t>No. of Patient</t>
  </si>
  <si>
    <t>% Status</t>
  </si>
  <si>
    <t>Count of Age Group</t>
  </si>
  <si>
    <t>Female</t>
  </si>
  <si>
    <t>None</t>
  </si>
  <si>
    <t>Delay</t>
  </si>
  <si>
    <t>Male</t>
  </si>
  <si>
    <t>On Time</t>
  </si>
  <si>
    <t>General Practice</t>
  </si>
  <si>
    <t>Orthopedics</t>
  </si>
  <si>
    <t>Cardiology</t>
  </si>
  <si>
    <t>Gastroenterology</t>
  </si>
  <si>
    <t>Renal</t>
  </si>
  <si>
    <t>1-10</t>
  </si>
  <si>
    <t>11-20</t>
  </si>
  <si>
    <t>21-30</t>
  </si>
  <si>
    <t>31-40</t>
  </si>
  <si>
    <t>41-50</t>
  </si>
  <si>
    <t>51-60</t>
  </si>
  <si>
    <t>61-70</t>
  </si>
  <si>
    <t>71-79</t>
  </si>
  <si>
    <t>Physiotherapy</t>
  </si>
  <si>
    <t>Neurology</t>
  </si>
  <si>
    <t>No.of Patient</t>
  </si>
  <si>
    <t>No. of patient by age group analysis</t>
  </si>
  <si>
    <t>Count of Patient Id</t>
  </si>
  <si>
    <t>Patient Attented Status</t>
  </si>
  <si>
    <t>Count of Patient Gender</t>
  </si>
  <si>
    <t>Patient Gender Status</t>
  </si>
  <si>
    <t>Count of Department Referral</t>
  </si>
  <si>
    <t>No. of Patient by department referal</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</si>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</sst>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1"/>
      <color theme="4"/>
      <name val="Calibri"/>
      <family val="2"/>
      <scheme val="minor"/>
    </font>
    <font>
      <sz val="9"/>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b/>
      <sz val="14"/>
      <color theme="4"/>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3"/>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2" fontId="0" fillId="0" borderId="0" xfId="0" applyNumberFormat="1" applyFont="1"/>
    <xf numFmtId="0" fontId="0" fillId="3" borderId="0" xfId="0" applyFill="1"/>
    <xf numFmtId="0" fontId="1" fillId="3" borderId="0" xfId="0" applyFont="1" applyFill="1"/>
    <xf numFmtId="0" fontId="2" fillId="3" borderId="0" xfId="0" applyFont="1" applyFill="1"/>
    <xf numFmtId="0" fontId="3" fillId="4" borderId="1" xfId="0" applyFont="1" applyFill="1" applyBorder="1"/>
    <xf numFmtId="0" fontId="0" fillId="5" borderId="0" xfId="0" applyFill="1"/>
    <xf numFmtId="10" fontId="0" fillId="0" borderId="0" xfId="0" applyNumberFormat="1" applyFont="1"/>
    <xf numFmtId="1" fontId="0" fillId="0" borderId="0" xfId="0" applyNumberFormat="1" applyFont="1"/>
    <xf numFmtId="0" fontId="0" fillId="6" borderId="0" xfId="0" applyFont="1" applyFill="1"/>
    <xf numFmtId="0" fontId="0" fillId="6" borderId="0" xfId="0" applyFill="1"/>
    <xf numFmtId="1" fontId="5" fillId="6" borderId="0" xfId="0" applyNumberFormat="1" applyFont="1" applyFill="1" applyAlignment="1">
      <alignment horizontal="center" vertical="center"/>
    </xf>
    <xf numFmtId="9" fontId="5" fillId="6" borderId="0" xfId="1" applyFont="1" applyFill="1" applyAlignment="1">
      <alignment horizontal="center" vertical="center"/>
    </xf>
    <xf numFmtId="0" fontId="5" fillId="6" borderId="0" xfId="0" applyFont="1" applyFill="1" applyAlignment="1">
      <alignment horizontal="center" vertical="center"/>
    </xf>
    <xf numFmtId="0" fontId="6" fillId="6" borderId="0" xfId="0" applyFont="1" applyFill="1" applyAlignment="1">
      <alignment horizontal="center" vertical="center"/>
    </xf>
  </cellXfs>
  <cellStyles count="2">
    <cellStyle name="Normal" xfId="0" builtinId="0"/>
    <cellStyle name="Percent" xfId="1" builtinId="5"/>
  </cellStyles>
  <dxfs count="26">
    <dxf>
      <numFmt numFmtId="1" formatCode="0"/>
    </dxf>
    <dxf>
      <font>
        <sz val="11"/>
      </font>
    </dxf>
    <dxf>
      <numFmt numFmtId="2" formatCode="0.00"/>
    </dxf>
    <dxf>
      <numFmt numFmtId="1" formatCode="0"/>
    </dxf>
    <dxf>
      <font>
        <sz val="11"/>
      </font>
    </dxf>
    <dxf>
      <numFmt numFmtId="2" formatCode="0.00"/>
    </dxf>
    <dxf>
      <numFmt numFmtId="14" formatCode="0.00%"/>
    </dxf>
    <dxf>
      <numFmt numFmtId="1" formatCode="0"/>
    </dxf>
    <dxf>
      <font>
        <sz val="11"/>
      </font>
    </dxf>
    <dxf>
      <numFmt numFmtId="2" formatCode="0.00"/>
    </dxf>
    <dxf>
      <numFmt numFmtId="1" formatCode="0"/>
    </dxf>
    <dxf>
      <font>
        <sz val="11"/>
      </font>
    </dxf>
    <dxf>
      <numFmt numFmtId="2" formatCode="0.00"/>
    </dxf>
    <dxf>
      <numFmt numFmtId="2" formatCode="0.00"/>
    </dxf>
    <dxf>
      <numFmt numFmtId="1" formatCode="0"/>
    </dxf>
    <dxf>
      <font>
        <sz val="11"/>
      </font>
    </dxf>
    <dxf>
      <numFmt numFmtId="2" formatCode="0.00"/>
    </dxf>
    <dxf>
      <numFmt numFmtId="2" formatCode="0.00"/>
    </dxf>
    <dxf>
      <numFmt numFmtId="2" formatCode="0.00"/>
    </dxf>
    <dxf>
      <numFmt numFmtId="1" formatCode="0"/>
    </dxf>
    <dxf>
      <font>
        <sz val="11"/>
      </font>
    </dxf>
    <dxf>
      <numFmt numFmtId="2" formatCode="0.00"/>
    </dxf>
    <dxf>
      <font>
        <sz val="11"/>
      </font>
    </dxf>
    <dxf>
      <numFmt numFmtId="2" formatCode="0.00"/>
    </dxf>
    <dxf>
      <font>
        <b/>
        <color theme="1"/>
      </font>
      <border>
        <bottom style="thin">
          <color theme="4"/>
        </bottom>
        <vertical/>
        <horizontal/>
      </border>
    </dxf>
    <dxf>
      <font>
        <sz val="10"/>
        <color theme="1"/>
      </font>
      <fill>
        <patternFill>
          <bgColor theme="4"/>
        </patternFill>
      </fill>
      <border diagonalUp="0" diagonalDown="0">
        <left/>
        <right/>
        <top/>
        <bottom/>
        <vertical/>
        <horizontal/>
      </border>
    </dxf>
  </dxfs>
  <tableStyles count="1" defaultTableStyle="TableStyleMedium2" defaultPivotStyle="PivotStyleLight16">
    <tableStyle name="My Style" pivot="0" table="0" count="10" xr9:uid="{3369E290-A415-4EE6-A3AD-C8D58690EE75}">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Report!PivotTable7</c:name>
    <c:fmtId val="1"/>
  </c:pivotSource>
  <c:chart>
    <c:autoTitleDeleted val="0"/>
    <c:pivotFmts>
      <c:pivotFmt>
        <c:idx val="0"/>
        <c:spPr>
          <a:solidFill>
            <a:schemeClr val="accent1"/>
          </a:solidFill>
          <a:ln w="6350" cap="flat">
            <a:solidFill>
              <a:schemeClr val="accent1"/>
            </a:solidFill>
          </a:ln>
          <a:effectLst/>
          <a:scene3d>
            <a:camera prst="orthographicFront"/>
            <a:lightRig rig="threePt" dir="t"/>
          </a:scene3d>
          <a:sp3d>
            <a:bevelT h="0"/>
          </a:sp3d>
        </c:spPr>
        <c:marker>
          <c:symbol val="none"/>
        </c:marker>
        <c:dLbl>
          <c:idx val="0"/>
          <c:spPr>
            <a:noFill/>
            <a:ln>
              <a:noFill/>
            </a:ln>
            <a:effectLst/>
          </c:spPr>
          <c:txPr>
            <a:bodyPr wrap="none" lIns="0" tIns="0" rIns="0" bIns="0" anchor="ctr">
              <a:spAutoFit/>
            </a:bodyPr>
            <a:lstStyle/>
            <a:p>
              <a:pPr>
                <a:defRPr sz="1400" b="1"/>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pivotFmt>
      <c:pivotFmt>
        <c:idx val="2"/>
        <c:dLbl>
          <c:idx val="0"/>
          <c:tx>
            <c:rich>
              <a:bodyPr rot="0" spcFirstLastPara="1" vertOverflow="ellipsis" vert="horz" wrap="none" lIns="0" tIns="0" rIns="0" bIns="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027FA4E6-C82E-4C73-A7BF-C641113C2063}" type="CELLRANGE">
                  <a:rPr lang="en-US"/>
                  <a:pPr>
                    <a:defRPr sz="1200" b="1" i="0" u="none" strike="noStrike" kern="1200" baseline="0">
                      <a:solidFill>
                        <a:schemeClr val="tx1">
                          <a:lumMod val="75000"/>
                          <a:lumOff val="25000"/>
                        </a:schemeClr>
                      </a:solidFill>
                      <a:latin typeface="+mn-lt"/>
                      <a:ea typeface="+mn-ea"/>
                      <a:cs typeface="+mn-cs"/>
                    </a:defRPr>
                  </a:pPr>
                  <a:t>[CELLRANGE]</a:t>
                </a:fld>
                <a:endParaRPr lang="en-US"/>
              </a:p>
            </c:rich>
          </c:tx>
          <c:numFmt formatCode="General"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0" tIns="0" rIns="0" bIns="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CB9B1943-94DA-4F6E-995E-5AE1A1F1161B}" type="CELLRANGE">
                  <a:rPr lang="en-US"/>
                  <a:pPr>
                    <a:defRPr sz="1200" b="1" i="0" u="none" strike="noStrike" kern="1200" baseline="0">
                      <a:solidFill>
                        <a:schemeClr val="tx1">
                          <a:lumMod val="75000"/>
                          <a:lumOff val="25000"/>
                        </a:schemeClr>
                      </a:solidFill>
                      <a:latin typeface="+mn-lt"/>
                      <a:ea typeface="+mn-ea"/>
                      <a:cs typeface="+mn-cs"/>
                    </a:defRPr>
                  </a:pPr>
                  <a:t>[CELLRANGE]</a:t>
                </a:fld>
                <a:endParaRPr lang="en-US"/>
              </a:p>
            </c:rich>
          </c:tx>
          <c:numFmt formatCode="General"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
        <c:spPr>
          <a:solidFill>
            <a:schemeClr val="accent1"/>
          </a:solidFill>
          <a:ln w="6350" cap="flat">
            <a:solidFill>
              <a:schemeClr val="accent1"/>
            </a:solidFill>
          </a:ln>
          <a:effectLst/>
          <a:scene3d>
            <a:camera prst="orthographicFront"/>
            <a:lightRig rig="threePt" dir="t"/>
          </a:scene3d>
          <a:sp3d>
            <a:bevelT h="0"/>
          </a:sp3d>
        </c:spPr>
        <c:dLbl>
          <c:idx val="0"/>
          <c:tx>
            <c:rich>
              <a:bodyPr rot="0" spcFirstLastPara="1" vertOverflow="ellipsis" vert="horz" wrap="none" lIns="0" tIns="0" rIns="0" bIns="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7DEA4B5D-56F5-40A5-90C2-0090DE385CF5}" type="CELLRANGE">
                  <a:rPr lang="en-US"/>
                  <a:pPr>
                    <a:defRPr sz="1200" b="1" i="0" u="none" strike="noStrike" kern="1200" baseline="0">
                      <a:solidFill>
                        <a:schemeClr val="tx1">
                          <a:lumMod val="75000"/>
                          <a:lumOff val="25000"/>
                        </a:schemeClr>
                      </a:solidFill>
                      <a:latin typeface="+mn-lt"/>
                      <a:ea typeface="+mn-ea"/>
                      <a:cs typeface="+mn-cs"/>
                    </a:defRPr>
                  </a:pPr>
                  <a:t>[CELLRANGE]</a:t>
                </a:fld>
                <a:endParaRPr lang="en-US"/>
              </a:p>
            </c:rich>
          </c:tx>
          <c:numFmt formatCode="General"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5"/>
        <c:spPr>
          <a:solidFill>
            <a:schemeClr val="accent1"/>
          </a:solidFill>
          <a:ln w="6350" cap="flat">
            <a:solidFill>
              <a:schemeClr val="accent1"/>
            </a:solidFill>
          </a:ln>
          <a:effectLst/>
          <a:scene3d>
            <a:camera prst="orthographicFront"/>
            <a:lightRig rig="threePt" dir="t"/>
          </a:scene3d>
          <a:sp3d>
            <a:bevelT h="0"/>
          </a:sp3d>
        </c:spPr>
        <c:dLbl>
          <c:idx val="0"/>
          <c:tx>
            <c:rich>
              <a:bodyPr rot="0" spcFirstLastPara="1" vertOverflow="ellipsis" vert="horz" wrap="none" lIns="0" tIns="0" rIns="0" bIns="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89AC1FA0-5C8F-4256-B2D2-09F77E89A4E0}" type="CELLRANGE">
                  <a:rPr lang="en-US"/>
                  <a:pPr>
                    <a:defRPr sz="1200" b="1" i="0" u="none" strike="noStrike" kern="1200" baseline="0">
                      <a:solidFill>
                        <a:schemeClr val="tx1">
                          <a:lumMod val="75000"/>
                          <a:lumOff val="25000"/>
                        </a:schemeClr>
                      </a:solidFill>
                      <a:latin typeface="+mn-lt"/>
                      <a:ea typeface="+mn-ea"/>
                      <a:cs typeface="+mn-cs"/>
                    </a:defRPr>
                  </a:pPr>
                  <a:t>[CELLRANGE]</a:t>
                </a:fld>
                <a:endParaRPr lang="en-US"/>
              </a:p>
            </c:rich>
          </c:tx>
          <c:numFmt formatCode="General"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6"/>
        <c:dLbl>
          <c:idx val="0"/>
          <c:tx>
            <c:rich>
              <a:bodyPr wrap="none" lIns="0" tIns="0" rIns="0" bIns="0" anchor="ctr">
                <a:spAutoFit/>
              </a:bodyPr>
              <a:lstStyle/>
              <a:p>
                <a:pPr>
                  <a:defRPr sz="1400" b="1"/>
                </a:pPr>
                <a:fld id="{70A81226-BAB5-4A82-B178-AA9E1C7C63B8}" type="CELLRANGE">
                  <a:rPr lang="en-US"/>
                  <a:pPr>
                    <a:defRPr sz="1400" b="1"/>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7"/>
        <c:dLbl>
          <c:idx val="0"/>
          <c:tx>
            <c:rich>
              <a:bodyPr wrap="none" lIns="0" tIns="0" rIns="0" bIns="0" anchor="ctr">
                <a:spAutoFit/>
              </a:bodyPr>
              <a:lstStyle/>
              <a:p>
                <a:pPr>
                  <a:defRPr sz="1400" b="1"/>
                </a:pPr>
                <a:fld id="{B0C8251E-F5C0-455D-A670-2402705CDDC9}" type="CELLRANGE">
                  <a:rPr lang="en-US"/>
                  <a:pPr>
                    <a:defRPr sz="1400" b="1"/>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1.9840948765989289E-3"/>
          <c:y val="0.19962155893304032"/>
          <c:w val="0.73225763200102556"/>
          <c:h val="0.62542067739997553"/>
        </c:manualLayout>
      </c:layout>
      <c:barChart>
        <c:barDir val="bar"/>
        <c:grouping val="clustered"/>
        <c:varyColors val="0"/>
        <c:ser>
          <c:idx val="0"/>
          <c:order val="0"/>
          <c:tx>
            <c:strRef>
              <c:f>'Pivot Report'!$C$43:$C$44</c:f>
              <c:strCache>
                <c:ptCount val="1"/>
                <c:pt idx="0">
                  <c:v>Count of Patient Admission Flag</c:v>
                </c:pt>
              </c:strCache>
            </c:strRef>
          </c:tx>
          <c:spPr>
            <a:solidFill>
              <a:schemeClr val="accent1"/>
            </a:solidFill>
            <a:ln w="6350" cap="flat">
              <a:solidFill>
                <a:schemeClr val="accent1"/>
              </a:solidFill>
            </a:ln>
            <a:effectLst/>
            <a:scene3d>
              <a:camera prst="orthographicFront"/>
              <a:lightRig rig="threePt" dir="t"/>
            </a:scene3d>
            <a:sp3d>
              <a:bevelT h="0"/>
            </a:sp3d>
          </c:spPr>
          <c:invertIfNegative val="0"/>
          <c:dLbls>
            <c:dLbl>
              <c:idx val="0"/>
              <c:tx>
                <c:rich>
                  <a:bodyPr/>
                  <a:lstStyle/>
                  <a:p>
                    <a:fld id="{B0C8251E-F5C0-455D-A670-2402705CDD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5D60-4D89-ABDD-C5AD1A695019}"/>
                </c:ext>
              </c:extLst>
            </c:dLbl>
            <c:dLbl>
              <c:idx val="1"/>
              <c:tx>
                <c:rich>
                  <a:bodyPr/>
                  <a:lstStyle/>
                  <a:p>
                    <a:fld id="{70A81226-BAB5-4A82-B178-AA9E1C7C63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5D60-4D89-ABDD-C5AD1A695019}"/>
                </c:ext>
              </c:extLst>
            </c:dLbl>
            <c:spPr>
              <a:noFill/>
              <a:ln>
                <a:noFill/>
              </a:ln>
              <a:effectLst/>
            </c:spPr>
            <c:txPr>
              <a:bodyPr wrap="none" lIns="0" tIns="0" rIns="0" bIns="0" anchor="ctr">
                <a:spAutoFit/>
              </a:bodyPr>
              <a:lstStyle/>
              <a:p>
                <a:pPr>
                  <a:defRPr sz="1400" b="1"/>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Report'!$C$43:$C$44</c:f>
              <c:strCache>
                <c:ptCount val="2"/>
                <c:pt idx="0">
                  <c:v>Admitted</c:v>
                </c:pt>
                <c:pt idx="1">
                  <c:v>Not admitted</c:v>
                </c:pt>
              </c:strCache>
            </c:strRef>
          </c:cat>
          <c:val>
            <c:numRef>
              <c:f>'Pivot Report'!$C$43:$C$44</c:f>
              <c:numCache>
                <c:formatCode>0</c:formatCode>
                <c:ptCount val="2"/>
                <c:pt idx="0">
                  <c:v>247</c:v>
                </c:pt>
                <c:pt idx="1">
                  <c:v>224</c:v>
                </c:pt>
              </c:numCache>
            </c:numRef>
          </c:val>
          <c:extLst>
            <c:ext xmlns:c15="http://schemas.microsoft.com/office/drawing/2012/chart" uri="{02D57815-91ED-43cb-92C2-25804820EDAC}">
              <c15:datalabelsRange>
                <c15:f>'Pivot Report'!$C$43:$C$44</c15:f>
                <c15:dlblRangeCache>
                  <c:ptCount val="2"/>
                  <c:pt idx="0">
                    <c:v>52.44%</c:v>
                  </c:pt>
                  <c:pt idx="1">
                    <c:v>47.56%</c:v>
                  </c:pt>
                </c15:dlblRangeCache>
              </c15:datalabelsRange>
            </c:ext>
            <c:ext xmlns:c16="http://schemas.microsoft.com/office/drawing/2014/chart" uri="{C3380CC4-5D6E-409C-BE32-E72D297353CC}">
              <c16:uniqueId val="{0000002A-5D60-4D89-ABDD-C5AD1A695019}"/>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Admitted</c:v>
                </c:pt>
                <c:pt idx="1">
                  <c:v>Not admitted</c:v>
                </c:pt>
              </c:strCache>
            </c:strRef>
          </c:cat>
          <c:val>
            <c:numRef>
              <c:f>'Pivot Report'!$C$43:$C$44</c:f>
              <c:numCache>
                <c:formatCode>0.00%</c:formatCode>
                <c:ptCount val="2"/>
                <c:pt idx="0">
                  <c:v>0.52441613588110403</c:v>
                </c:pt>
                <c:pt idx="1">
                  <c:v>0.47558386411889597</c:v>
                </c:pt>
              </c:numCache>
            </c:numRef>
          </c:val>
          <c:extLst>
            <c:ext xmlns:c16="http://schemas.microsoft.com/office/drawing/2014/chart" uri="{C3380CC4-5D6E-409C-BE32-E72D297353CC}">
              <c16:uniqueId val="{0000002B-5D60-4D89-ABDD-C5AD1A695019}"/>
            </c:ext>
          </c:extLst>
        </c:ser>
        <c:dLbls>
          <c:showLegendKey val="0"/>
          <c:showVal val="0"/>
          <c:showCatName val="0"/>
          <c:showSerName val="0"/>
          <c:showPercent val="0"/>
          <c:showBubbleSize val="0"/>
        </c:dLbls>
        <c:gapWidth val="0"/>
        <c:axId val="1347326383"/>
        <c:axId val="1335389615"/>
      </c:barChart>
      <c:catAx>
        <c:axId val="1347326383"/>
        <c:scaling>
          <c:orientation val="minMax"/>
        </c:scaling>
        <c:delete val="1"/>
        <c:axPos val="l"/>
        <c:numFmt formatCode="General" sourceLinked="1"/>
        <c:majorTickMark val="none"/>
        <c:minorTickMark val="none"/>
        <c:tickLblPos val="nextTo"/>
        <c:crossAx val="1335389615"/>
        <c:crosses val="autoZero"/>
        <c:auto val="1"/>
        <c:lblAlgn val="ctr"/>
        <c:lblOffset val="100"/>
        <c:noMultiLvlLbl val="0"/>
      </c:catAx>
      <c:valAx>
        <c:axId val="1335389615"/>
        <c:scaling>
          <c:orientation val="minMax"/>
        </c:scaling>
        <c:delete val="1"/>
        <c:axPos val="b"/>
        <c:numFmt formatCode="0" sourceLinked="1"/>
        <c:majorTickMark val="none"/>
        <c:minorTickMark val="none"/>
        <c:tickLblPos val="nextTo"/>
        <c:crossAx val="134732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Report!PivotTable5</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w="25400">
            <a:noFill/>
          </a:ln>
          <a:effectLst/>
        </c:spPr>
        <c:marker>
          <c:symbol val="none"/>
        </c:marker>
      </c:pivotFmt>
    </c:pivotFmts>
    <c:plotArea>
      <c:layout>
        <c:manualLayout>
          <c:layoutTarget val="inner"/>
          <c:xMode val="edge"/>
          <c:yMode val="edge"/>
          <c:x val="0"/>
          <c:y val="0"/>
          <c:w val="0.99211045364891515"/>
          <c:h val="1"/>
        </c:manualLayout>
      </c:layout>
      <c:areaChart>
        <c:grouping val="standard"/>
        <c:varyColors val="0"/>
        <c:ser>
          <c:idx val="0"/>
          <c:order val="0"/>
          <c:tx>
            <c:strRef>
              <c:f>'Pivot Report'!$M$7</c:f>
              <c:strCache>
                <c:ptCount val="1"/>
                <c:pt idx="0">
                  <c:v>Total</c:v>
                </c:pt>
              </c:strCache>
            </c:strRef>
          </c:tx>
          <c:spPr>
            <a:solidFill>
              <a:schemeClr val="bg1"/>
            </a:solidFill>
            <a:ln w="25400">
              <a:noFill/>
            </a:ln>
            <a:effectLst/>
          </c:spPr>
          <c:cat>
            <c:strRef>
              <c:f>'Pivot Report'!$L$8:$L$38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Report'!$M$8:$M$38</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D-4538-4E31-AF15-06A5706437C7}"/>
            </c:ext>
          </c:extLst>
        </c:ser>
        <c:dLbls>
          <c:showLegendKey val="0"/>
          <c:showVal val="0"/>
          <c:showCatName val="0"/>
          <c:showSerName val="0"/>
          <c:showPercent val="0"/>
          <c:showBubbleSize val="0"/>
        </c:dLbls>
        <c:axId val="408664864"/>
        <c:axId val="1677457232"/>
      </c:areaChart>
      <c:catAx>
        <c:axId val="408664864"/>
        <c:scaling>
          <c:orientation val="minMax"/>
        </c:scaling>
        <c:delete val="1"/>
        <c:axPos val="b"/>
        <c:numFmt formatCode="General" sourceLinked="1"/>
        <c:majorTickMark val="out"/>
        <c:minorTickMark val="none"/>
        <c:tickLblPos val="nextTo"/>
        <c:crossAx val="1677457232"/>
        <c:crosses val="autoZero"/>
        <c:auto val="1"/>
        <c:lblAlgn val="ctr"/>
        <c:lblOffset val="100"/>
        <c:noMultiLvlLbl val="0"/>
      </c:catAx>
      <c:valAx>
        <c:axId val="1677457232"/>
        <c:scaling>
          <c:orientation val="minMax"/>
        </c:scaling>
        <c:delete val="1"/>
        <c:axPos val="l"/>
        <c:numFmt formatCode="0.00" sourceLinked="1"/>
        <c:majorTickMark val="none"/>
        <c:minorTickMark val="none"/>
        <c:tickLblPos val="nextTo"/>
        <c:crossAx val="408664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Report!PivotTable2</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w="25400">
            <a:noFill/>
          </a:ln>
          <a:effectLst/>
        </c:spPr>
        <c:marker>
          <c:symbol val="none"/>
        </c:marker>
      </c:pivotFmt>
    </c:pivotFmts>
    <c:plotArea>
      <c:layout>
        <c:manualLayout>
          <c:layoutTarget val="inner"/>
          <c:xMode val="edge"/>
          <c:yMode val="edge"/>
          <c:x val="1.4545061639893363E-5"/>
          <c:y val="1.4774660150469172E-2"/>
          <c:w val="0.99522102747909202"/>
          <c:h val="0.98522621915682429"/>
        </c:manualLayout>
      </c:layout>
      <c:areaChart>
        <c:grouping val="standard"/>
        <c:varyColors val="0"/>
        <c:ser>
          <c:idx val="0"/>
          <c:order val="0"/>
          <c:tx>
            <c:strRef>
              <c:f>'Pivot Report'!$H$7</c:f>
              <c:strCache>
                <c:ptCount val="1"/>
                <c:pt idx="0">
                  <c:v>Total</c:v>
                </c:pt>
              </c:strCache>
            </c:strRef>
          </c:tx>
          <c:spPr>
            <a:solidFill>
              <a:schemeClr val="bg1"/>
            </a:solidFill>
            <a:ln w="25400">
              <a:noFill/>
            </a:ln>
            <a:effectLst/>
          </c:spPr>
          <c:cat>
            <c:strRef>
              <c:f>'Pivot Report'!$G$8:$G$38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Report'!$H$8:$H$38</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D-DFC7-45EC-812B-84D41DB0F9C2}"/>
            </c:ext>
          </c:extLst>
        </c:ser>
        <c:dLbls>
          <c:showLegendKey val="0"/>
          <c:showVal val="0"/>
          <c:showCatName val="0"/>
          <c:showSerName val="0"/>
          <c:showPercent val="0"/>
          <c:showBubbleSize val="0"/>
        </c:dLbls>
        <c:axId val="545734016"/>
        <c:axId val="160658608"/>
      </c:areaChart>
      <c:catAx>
        <c:axId val="545734016"/>
        <c:scaling>
          <c:orientation val="minMax"/>
        </c:scaling>
        <c:delete val="1"/>
        <c:axPos val="b"/>
        <c:numFmt formatCode="General" sourceLinked="1"/>
        <c:majorTickMark val="out"/>
        <c:minorTickMark val="none"/>
        <c:tickLblPos val="nextTo"/>
        <c:crossAx val="160658608"/>
        <c:crosses val="autoZero"/>
        <c:auto val="1"/>
        <c:lblAlgn val="ctr"/>
        <c:lblOffset val="100"/>
        <c:noMultiLvlLbl val="0"/>
      </c:catAx>
      <c:valAx>
        <c:axId val="160658608"/>
        <c:scaling>
          <c:orientation val="minMax"/>
        </c:scaling>
        <c:delete val="1"/>
        <c:axPos val="l"/>
        <c:numFmt formatCode="General" sourceLinked="1"/>
        <c:majorTickMark val="none"/>
        <c:minorTickMark val="none"/>
        <c:tickLblPos val="nextTo"/>
        <c:crossAx val="5457340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Report!PivotTable6</c:name>
    <c:fmtId val="2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w="25400">
            <a:noFill/>
          </a:ln>
          <a:effectLst/>
        </c:spPr>
        <c:marker>
          <c:symbol val="none"/>
        </c:marker>
      </c:pivotFmt>
    </c:pivotFmts>
    <c:plotArea>
      <c:layout>
        <c:manualLayout>
          <c:layoutTarget val="inner"/>
          <c:xMode val="edge"/>
          <c:yMode val="edge"/>
          <c:x val="0"/>
          <c:y val="0"/>
          <c:w val="1"/>
          <c:h val="0.98917378043062776"/>
        </c:manualLayout>
      </c:layout>
      <c:areaChart>
        <c:grouping val="standard"/>
        <c:varyColors val="0"/>
        <c:ser>
          <c:idx val="0"/>
          <c:order val="0"/>
          <c:tx>
            <c:strRef>
              <c:f>'Pivot Report'!$P$7</c:f>
              <c:strCache>
                <c:ptCount val="1"/>
                <c:pt idx="0">
                  <c:v>Total</c:v>
                </c:pt>
              </c:strCache>
            </c:strRef>
          </c:tx>
          <c:spPr>
            <a:solidFill>
              <a:schemeClr val="bg1"/>
            </a:solidFill>
            <a:ln w="25400">
              <a:noFill/>
            </a:ln>
            <a:effectLst/>
          </c:spPr>
          <c:cat>
            <c:strRef>
              <c:f>'Pivot Report'!$O$8:$O$38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Report'!$P$8:$P$38</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D-6D2E-410A-A87A-07E0E1B78CD9}"/>
            </c:ext>
          </c:extLst>
        </c:ser>
        <c:dLbls>
          <c:showLegendKey val="0"/>
          <c:showVal val="0"/>
          <c:showCatName val="0"/>
          <c:showSerName val="0"/>
          <c:showPercent val="0"/>
          <c:showBubbleSize val="0"/>
        </c:dLbls>
        <c:axId val="1220410655"/>
        <c:axId val="1218139455"/>
      </c:areaChart>
      <c:catAx>
        <c:axId val="1220410655"/>
        <c:scaling>
          <c:orientation val="minMax"/>
        </c:scaling>
        <c:delete val="1"/>
        <c:axPos val="b"/>
        <c:numFmt formatCode="General" sourceLinked="1"/>
        <c:majorTickMark val="out"/>
        <c:minorTickMark val="none"/>
        <c:tickLblPos val="nextTo"/>
        <c:crossAx val="1218139455"/>
        <c:crosses val="autoZero"/>
        <c:auto val="1"/>
        <c:lblAlgn val="ctr"/>
        <c:lblOffset val="100"/>
        <c:noMultiLvlLbl val="0"/>
      </c:catAx>
      <c:valAx>
        <c:axId val="1218139455"/>
        <c:scaling>
          <c:orientation val="minMax"/>
        </c:scaling>
        <c:delete val="1"/>
        <c:axPos val="l"/>
        <c:numFmt formatCode="0.00" sourceLinked="1"/>
        <c:majorTickMark val="none"/>
        <c:minorTickMark val="none"/>
        <c:tickLblPos val="nextTo"/>
        <c:crossAx val="1220410655"/>
        <c:crosses val="autoZero"/>
        <c:crossBetween val="midCat"/>
      </c:valAx>
      <c:spPr>
        <a:solidFill>
          <a:schemeClr val="accent1"/>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Report!PivotTable8</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94862046700235E-2"/>
          <c:y val="8.2936510527949966E-2"/>
          <c:w val="0.93681027590659949"/>
          <c:h val="0.615086727130569"/>
        </c:manualLayout>
      </c:layout>
      <c:barChart>
        <c:barDir val="col"/>
        <c:grouping val="clustered"/>
        <c:varyColors val="0"/>
        <c:ser>
          <c:idx val="0"/>
          <c:order val="0"/>
          <c:tx>
            <c:strRef>
              <c:f>'Pivot Report'!$B$56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1-10</c:v>
                </c:pt>
                <c:pt idx="1">
                  <c:v>11-20</c:v>
                </c:pt>
                <c:pt idx="2">
                  <c:v>21-30</c:v>
                </c:pt>
                <c:pt idx="3">
                  <c:v>31-40</c:v>
                </c:pt>
                <c:pt idx="4">
                  <c:v>41-50</c:v>
                </c:pt>
                <c:pt idx="5">
                  <c:v>51-60</c:v>
                </c:pt>
                <c:pt idx="6">
                  <c:v>61-70</c:v>
                </c:pt>
                <c:pt idx="7">
                  <c:v>71-79</c:v>
                </c:pt>
              </c:strCache>
            </c:strRef>
          </c:cat>
          <c:val>
            <c:numRef>
              <c:f>'Pivot Report'!$B$57:$B$65</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E-D486-4986-86AE-F139800FB0B0}"/>
            </c:ext>
          </c:extLst>
        </c:ser>
        <c:dLbls>
          <c:showLegendKey val="0"/>
          <c:showVal val="0"/>
          <c:showCatName val="0"/>
          <c:showSerName val="0"/>
          <c:showPercent val="0"/>
          <c:showBubbleSize val="0"/>
        </c:dLbls>
        <c:gapWidth val="136"/>
        <c:overlap val="-27"/>
        <c:axId val="1445264448"/>
        <c:axId val="108616527"/>
      </c:barChart>
      <c:catAx>
        <c:axId val="144526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8616527"/>
        <c:crosses val="autoZero"/>
        <c:auto val="1"/>
        <c:lblAlgn val="ctr"/>
        <c:lblOffset val="100"/>
        <c:noMultiLvlLbl val="0"/>
      </c:catAx>
      <c:valAx>
        <c:axId val="108616527"/>
        <c:scaling>
          <c:orientation val="minMax"/>
        </c:scaling>
        <c:delete val="1"/>
        <c:axPos val="l"/>
        <c:numFmt formatCode="0" sourceLinked="1"/>
        <c:majorTickMark val="none"/>
        <c:minorTickMark val="none"/>
        <c:tickLblPos val="nextTo"/>
        <c:crossAx val="144526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Report!PivotTable9</c:name>
    <c:fmtId val="10"/>
  </c:pivotSource>
  <c:chart>
    <c:autoTitleDeleted val="1"/>
    <c:pivotFmts>
      <c:pivotFmt>
        <c:idx val="0"/>
      </c:pivotFmt>
      <c:pivotFmt>
        <c:idx val="1"/>
      </c:pivotFmt>
      <c:pivotFmt>
        <c:idx val="2"/>
      </c:pivotFmt>
      <c:pivotFmt>
        <c:idx val="3"/>
      </c:pivotFmt>
      <c:pivotFmt>
        <c:idx val="4"/>
        <c:spPr>
          <a:effectLst/>
        </c:spPr>
        <c:marker>
          <c:symbol val="none"/>
        </c:marker>
        <c:dLbl>
          <c:idx val="0"/>
          <c:spPr>
            <a:noFill/>
            <a:ln>
              <a:noFill/>
            </a:ln>
            <a:effectLst/>
          </c:spPr>
          <c:txPr>
            <a:bodyPr rot="0" spcFirstLastPara="1" vertOverflow="ellipsis" vert="horz" wrap="none" lIns="0" tIns="0" rIns="38100" bIns="0" anchor="ctr" anchorCtr="0">
              <a:spAutoFit/>
            </a:bodyPr>
            <a:lstStyle/>
            <a:p>
              <a:pPr algn="ctr">
                <a:defRPr sz="11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40712137051181"/>
          <c:y val="0.15674365967927043"/>
          <c:w val="0.67722996181170392"/>
          <c:h val="0.8432563403207296"/>
        </c:manualLayout>
      </c:layout>
      <c:pieChart>
        <c:varyColors val="1"/>
        <c:ser>
          <c:idx val="0"/>
          <c:order val="0"/>
          <c:tx>
            <c:strRef>
              <c:f>'Pivot Report'!$B$69</c:f>
              <c:strCache>
                <c:ptCount val="1"/>
                <c:pt idx="0">
                  <c:v>Total</c:v>
                </c:pt>
              </c:strCache>
            </c:strRef>
          </c:tx>
          <c:spPr>
            <a:effectLst/>
          </c:spPr>
          <c:dPt>
            <c:idx val="0"/>
            <c:bubble3D val="0"/>
            <c:spPr>
              <a:solidFill>
                <a:schemeClr val="bg1">
                  <a:lumMod val="9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8BD-492E-A8E0-9B6275C242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8BD-492E-A8E0-9B6275C242A2}"/>
              </c:ext>
            </c:extLst>
          </c:dPt>
          <c:dLbls>
            <c:spPr>
              <a:noFill/>
              <a:ln>
                <a:noFill/>
              </a:ln>
              <a:effectLst/>
            </c:spPr>
            <c:txPr>
              <a:bodyPr rot="0" spcFirstLastPara="1" vertOverflow="ellipsis" vert="horz" wrap="none" lIns="0" tIns="0" rIns="38100" bIns="0" anchor="ctr" anchorCtr="0">
                <a:spAutoFit/>
              </a:bodyPr>
              <a:lstStyle/>
              <a:p>
                <a:pPr algn="ctr">
                  <a:defRPr sz="11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Report'!$A$70:$A$72</c:f>
              <c:strCache>
                <c:ptCount val="2"/>
                <c:pt idx="0">
                  <c:v>Delay</c:v>
                </c:pt>
                <c:pt idx="1">
                  <c:v>On Time</c:v>
                </c:pt>
              </c:strCache>
            </c:strRef>
          </c:cat>
          <c:val>
            <c:numRef>
              <c:f>'Pivot Report'!$B$70:$B$72</c:f>
              <c:numCache>
                <c:formatCode>0</c:formatCode>
                <c:ptCount val="2"/>
                <c:pt idx="0">
                  <c:v>262</c:v>
                </c:pt>
                <c:pt idx="1">
                  <c:v>209</c:v>
                </c:pt>
              </c:numCache>
            </c:numRef>
          </c:val>
          <c:extLst>
            <c:ext xmlns:c16="http://schemas.microsoft.com/office/drawing/2014/chart" uri="{C3380CC4-5D6E-409C-BE32-E72D297353CC}">
              <c16:uniqueId val="{00000012-6D06-4B49-B5DC-5C9AEA6C96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364132869669107"/>
          <c:y val="2.4103259026587386E-3"/>
          <c:w val="0.58076557933138484"/>
          <c:h val="0.201639553547800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Report!PivotTable10</c:name>
    <c:fmtId val="15"/>
  </c:pivotSource>
  <c:chart>
    <c:autoTitleDeleted val="1"/>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2.4366034056804611E-2"/>
          <c:y val="4.9069378036740927E-2"/>
          <c:w val="0.65390343779691618"/>
          <c:h val="0.78997528469870915"/>
        </c:manualLayout>
      </c:layout>
      <c:doughnutChart>
        <c:varyColors val="1"/>
        <c:ser>
          <c:idx val="0"/>
          <c:order val="0"/>
          <c:tx>
            <c:strRef>
              <c:f>'Pivot Report'!$E$69</c:f>
              <c:strCache>
                <c:ptCount val="1"/>
                <c:pt idx="0">
                  <c:v>Total</c:v>
                </c:pt>
              </c:strCache>
            </c:strRef>
          </c:tx>
          <c:spPr>
            <a:effectLst/>
          </c:spPr>
          <c:dPt>
            <c:idx val="0"/>
            <c:bubble3D val="0"/>
            <c:spPr>
              <a:solidFill>
                <a:schemeClr val="tx2">
                  <a:lumMod val="20000"/>
                  <a:lumOff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B2-4B68-B194-360E261A51E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B2-4B68-B194-360E261A51E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Report'!$D$70:$D$72</c:f>
              <c:strCache>
                <c:ptCount val="2"/>
                <c:pt idx="0">
                  <c:v>Female</c:v>
                </c:pt>
                <c:pt idx="1">
                  <c:v>Male</c:v>
                </c:pt>
              </c:strCache>
            </c:strRef>
          </c:cat>
          <c:val>
            <c:numRef>
              <c:f>'Pivot Report'!$E$70:$E$72</c:f>
              <c:numCache>
                <c:formatCode>0</c:formatCode>
                <c:ptCount val="2"/>
                <c:pt idx="0">
                  <c:v>227</c:v>
                </c:pt>
                <c:pt idx="1">
                  <c:v>244</c:v>
                </c:pt>
              </c:numCache>
            </c:numRef>
          </c:val>
          <c:extLst>
            <c:ext xmlns:c16="http://schemas.microsoft.com/office/drawing/2014/chart" uri="{C3380CC4-5D6E-409C-BE32-E72D297353CC}">
              <c16:uniqueId val="{00000012-E3E4-4480-B7C5-AA1071EA09A3}"/>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0.656941377686174"/>
          <c:y val="2.3477518415407312E-2"/>
          <c:w val="0.28245253278574695"/>
          <c:h val="0.286763217958747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Report!PivotTable11</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08671671434135"/>
          <c:y val="1.4728619006841859E-2"/>
          <c:w val="0.65761439778715702"/>
          <c:h val="0.84730793696542339"/>
        </c:manualLayout>
      </c:layout>
      <c:barChart>
        <c:barDir val="bar"/>
        <c:grouping val="clustered"/>
        <c:varyColors val="0"/>
        <c:ser>
          <c:idx val="0"/>
          <c:order val="0"/>
          <c:tx>
            <c:strRef>
              <c:f>'Pivot Report'!$B$77</c:f>
              <c:strCache>
                <c:ptCount val="1"/>
                <c:pt idx="0">
                  <c:v>Total</c:v>
                </c:pt>
              </c:strCache>
            </c:strRef>
          </c:tx>
          <c:spPr>
            <a:solidFill>
              <a:schemeClr val="bg1"/>
            </a:solidFill>
            <a:ln>
              <a:noFill/>
            </a:ln>
            <a:effectLst/>
          </c:spPr>
          <c:invertIfNegative val="0"/>
          <c:dPt>
            <c:idx val="7"/>
            <c:invertIfNegative val="0"/>
            <c:bubble3D val="0"/>
            <c:extLst>
              <c:ext xmlns:c16="http://schemas.microsoft.com/office/drawing/2014/chart" uri="{C3380CC4-5D6E-409C-BE32-E72D297353CC}">
                <c16:uniqueId val="{00000000-9F77-4317-B288-A9F943110E9D}"/>
              </c:ext>
            </c:extLst>
          </c:dPt>
          <c:dLbls>
            <c:dLbl>
              <c:idx val="7"/>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77-4317-B288-A9F943110E9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Report'!$A$78:$A$86</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Report'!$B$78:$B$86</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F-D35C-4F24-A764-B89042ABEB66}"/>
            </c:ext>
          </c:extLst>
        </c:ser>
        <c:dLbls>
          <c:showLegendKey val="0"/>
          <c:showVal val="0"/>
          <c:showCatName val="0"/>
          <c:showSerName val="0"/>
          <c:showPercent val="0"/>
          <c:showBubbleSize val="0"/>
        </c:dLbls>
        <c:gapWidth val="29"/>
        <c:axId val="591710831"/>
        <c:axId val="445060239"/>
      </c:barChart>
      <c:catAx>
        <c:axId val="59171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45060239"/>
        <c:crosses val="autoZero"/>
        <c:auto val="1"/>
        <c:lblAlgn val="ctr"/>
        <c:lblOffset val="100"/>
        <c:noMultiLvlLbl val="0"/>
      </c:catAx>
      <c:valAx>
        <c:axId val="445060239"/>
        <c:scaling>
          <c:orientation val="minMax"/>
        </c:scaling>
        <c:delete val="1"/>
        <c:axPos val="b"/>
        <c:numFmt formatCode="0" sourceLinked="1"/>
        <c:majorTickMark val="none"/>
        <c:minorTickMark val="none"/>
        <c:tickLblPos val="nextTo"/>
        <c:crossAx val="59171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Report!PivotTable2</c:name>
    <c:fmtId val="10"/>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pivotFmt>
    </c:pivotFmts>
    <c:plotArea>
      <c:layout>
        <c:manualLayout>
          <c:layoutTarget val="inner"/>
          <c:xMode val="edge"/>
          <c:yMode val="edge"/>
          <c:x val="7.1159575426002292E-2"/>
          <c:y val="0"/>
          <c:w val="0.78021251748817744"/>
          <c:h val="0.78753868095255219"/>
        </c:manualLayout>
      </c:layout>
      <c:areaChart>
        <c:grouping val="standard"/>
        <c:varyColors val="0"/>
        <c:ser>
          <c:idx val="0"/>
          <c:order val="0"/>
          <c:tx>
            <c:strRef>
              <c:f>'Pivot Report'!$H$7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Report'!$G$8:$G$38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Report'!$H$8:$H$38</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D-A107-4C23-A9B6-140EF81DFD2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1705808"/>
        <c:axId val="81699216"/>
      </c:areaChart>
      <c:catAx>
        <c:axId val="151705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699216"/>
        <c:crosses val="autoZero"/>
        <c:auto val="1"/>
        <c:lblAlgn val="ctr"/>
        <c:lblOffset val="100"/>
        <c:noMultiLvlLbl val="0"/>
      </c:catAx>
      <c:valAx>
        <c:axId val="81699216"/>
        <c:scaling>
          <c:orientation val="minMax"/>
        </c:scaling>
        <c:delete val="1"/>
        <c:axPos val="l"/>
        <c:numFmt formatCode="General" sourceLinked="1"/>
        <c:majorTickMark val="out"/>
        <c:minorTickMark val="none"/>
        <c:tickLblPos val="nextTo"/>
        <c:crossAx val="151705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Report!PivotTable5</c:name>
    <c:fmtId val="16"/>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5400000" spcFirstLastPara="1" vertOverflow="clip" horzOverflow="clip" vert="horz" wrap="square" lIns="0" tIns="0" rIns="0" bIns="0" anchor="t"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5447081588170941E-2"/>
          <c:y val="5.2175115121285996E-2"/>
          <c:w val="0.75381975182096317"/>
          <c:h val="0.55154345290172058"/>
        </c:manualLayout>
      </c:layout>
      <c:areaChart>
        <c:grouping val="standard"/>
        <c:varyColors val="0"/>
        <c:ser>
          <c:idx val="0"/>
          <c:order val="0"/>
          <c:tx>
            <c:strRef>
              <c:f>'Pivot Report'!$M$7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5400000" spcFirstLastPara="1" vertOverflow="clip" horzOverflow="clip" vert="horz" wrap="square" lIns="0" tIns="0" rIns="0" bIns="0" anchor="t"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accent1">
                          <a:lumMod val="60000"/>
                          <a:lumOff val="40000"/>
                        </a:schemeClr>
                      </a:solidFill>
                    </a:ln>
                    <a:effectLst/>
                  </c:spPr>
                </c15:leaderLines>
              </c:ext>
            </c:extLst>
          </c:dLbls>
          <c:cat>
            <c:strRef>
              <c:f>'Pivot Report'!$L$8:$L$38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Report'!$M$8:$M$38</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D-EAB3-47B6-B470-82E546C65695}"/>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08664864"/>
        <c:axId val="1677457232"/>
      </c:areaChart>
      <c:catAx>
        <c:axId val="408664864"/>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677457232"/>
        <c:crosses val="autoZero"/>
        <c:auto val="1"/>
        <c:lblAlgn val="ctr"/>
        <c:lblOffset val="100"/>
        <c:noMultiLvlLbl val="0"/>
      </c:catAx>
      <c:valAx>
        <c:axId val="1677457232"/>
        <c:scaling>
          <c:orientation val="minMax"/>
        </c:scaling>
        <c:delete val="1"/>
        <c:axPos val="l"/>
        <c:numFmt formatCode="0.00" sourceLinked="1"/>
        <c:majorTickMark val="out"/>
        <c:minorTickMark val="none"/>
        <c:tickLblPos val="nextTo"/>
        <c:crossAx val="408664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[Gig1.xlsx]Pivot Report!PivotTable6</c:name>
    <c:fmtId val="22"/>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33681254959422E-2"/>
          <c:y val="5.6229777514236252E-2"/>
          <c:w val="0.78212754413450258"/>
          <c:h val="0.76394893820090659"/>
        </c:manualLayout>
      </c:layout>
      <c:areaChart>
        <c:grouping val="standard"/>
        <c:varyColors val="0"/>
        <c:ser>
          <c:idx val="0"/>
          <c:order val="0"/>
          <c:tx>
            <c:strRef>
              <c:f>'Pivot Report'!$P$7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Report'!$O$8:$O$38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Report'!$P$8:$P$38</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D-53A9-43E8-8911-A6DFF6D3F9A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0410655"/>
        <c:axId val="1218139455"/>
      </c:areaChart>
      <c:catAx>
        <c:axId val="12204106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8139455"/>
        <c:crosses val="autoZero"/>
        <c:auto val="1"/>
        <c:lblAlgn val="ctr"/>
        <c:lblOffset val="100"/>
        <c:noMultiLvlLbl val="0"/>
      </c:catAx>
      <c:valAx>
        <c:axId val="1218139455"/>
        <c:scaling>
          <c:orientation val="minMax"/>
        </c:scaling>
        <c:delete val="1"/>
        <c:axPos val="l"/>
        <c:numFmt formatCode="0.00" sourceLinked="1"/>
        <c:majorTickMark val="out"/>
        <c:minorTickMark val="none"/>
        <c:tickLblPos val="nextTo"/>
        <c:crossAx val="12204106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ient Waittime'!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ER Patient Satisfactio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ER No. of Patient'!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xdr:colOff>
      <xdr:row>49</xdr:row>
      <xdr:rowOff>19050</xdr:rowOff>
    </xdr:from>
    <xdr:to>
      <xdr:col>4</xdr:col>
      <xdr:colOff>0</xdr:colOff>
      <xdr:row>52</xdr:row>
      <xdr:rowOff>19049</xdr:rowOff>
    </xdr:to>
    <xdr:graphicFrame macro="">
      <xdr:nvGraphicFramePr>
        <xdr:cNvPr id="4" name="Chart 3">
          <a:extLst>
            <a:ext uri="{FF2B5EF4-FFF2-40B4-BE49-F238E27FC236}">
              <a16:creationId xmlns:a16="http://schemas.microsoft.com/office/drawing/2014/main" id="{A227BB85-F621-4314-A7F0-B689359C3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200025</xdr:colOff>
      <xdr:row>0</xdr:row>
      <xdr:rowOff>123825</xdr:rowOff>
    </xdr:from>
    <xdr:to>
      <xdr:col>7</xdr:col>
      <xdr:colOff>28575</xdr:colOff>
      <xdr:row>3</xdr:row>
      <xdr:rowOff>114300</xdr:rowOff>
    </xdr:to>
    <xdr:sp macro="" textlink="">
      <xdr:nvSpPr>
        <xdr:cNvPr id="2" name="Rectangle: Rounded Corners 1">
          <a:extLst>
            <a:ext uri="{FF2B5EF4-FFF2-40B4-BE49-F238E27FC236}">
              <a16:creationId xmlns:a16="http://schemas.microsoft.com/office/drawing/2014/main" id="{D53FA6FD-DE69-4294-8C9A-A55070D6E702}"/>
            </a:ext>
          </a:extLst>
        </xdr:cNvPr>
        <xdr:cNvSpPr/>
      </xdr:nvSpPr>
      <xdr:spPr>
        <a:xfrm>
          <a:off x="200025" y="123825"/>
          <a:ext cx="4095750" cy="561975"/>
        </a:xfrm>
        <a:prstGeom prst="roundRect">
          <a:avLst>
            <a:gd name="adj" fmla="val 3389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US" sz="1400"/>
            <a:t>Hospital</a:t>
          </a:r>
          <a:r>
            <a:rPr lang="en-US" sz="1400" baseline="0"/>
            <a:t> Emergency Room Dashboard</a:t>
          </a:r>
          <a:endParaRPr lang="en-US" sz="1400"/>
        </a:p>
      </xdr:txBody>
    </xdr:sp>
    <xdr:clientData/>
  </xdr:twoCellAnchor>
  <xdr:twoCellAnchor editAs="absolute">
    <xdr:from>
      <xdr:col>7</xdr:col>
      <xdr:colOff>57150</xdr:colOff>
      <xdr:row>0</xdr:row>
      <xdr:rowOff>114301</xdr:rowOff>
    </xdr:from>
    <xdr:to>
      <xdr:col>9</xdr:col>
      <xdr:colOff>466725</xdr:colOff>
      <xdr:row>4</xdr:row>
      <xdr:rowOff>133351</xdr:rowOff>
    </xdr:to>
    <xdr:sp macro="" textlink="">
      <xdr:nvSpPr>
        <xdr:cNvPr id="3" name="Rectangle: Rounded Corners 2">
          <a:extLst>
            <a:ext uri="{FF2B5EF4-FFF2-40B4-BE49-F238E27FC236}">
              <a16:creationId xmlns:a16="http://schemas.microsoft.com/office/drawing/2014/main" id="{6221CFBA-528F-4BFD-B8BF-1F54289901B0}"/>
            </a:ext>
          </a:extLst>
        </xdr:cNvPr>
        <xdr:cNvSpPr/>
      </xdr:nvSpPr>
      <xdr:spPr>
        <a:xfrm>
          <a:off x="4324350" y="114301"/>
          <a:ext cx="1628775" cy="781050"/>
        </a:xfrm>
        <a:prstGeom prst="roundRect">
          <a:avLst>
            <a:gd name="adj" fmla="val 209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228599</xdr:colOff>
      <xdr:row>3</xdr:row>
      <xdr:rowOff>152400</xdr:rowOff>
    </xdr:from>
    <xdr:to>
      <xdr:col>2</xdr:col>
      <xdr:colOff>180975</xdr:colOff>
      <xdr:row>21</xdr:row>
      <xdr:rowOff>180975</xdr:rowOff>
    </xdr:to>
    <xdr:sp macro="" textlink="">
      <xdr:nvSpPr>
        <xdr:cNvPr id="6" name="Rectangle: Rounded Corners 5">
          <a:extLst>
            <a:ext uri="{FF2B5EF4-FFF2-40B4-BE49-F238E27FC236}">
              <a16:creationId xmlns:a16="http://schemas.microsoft.com/office/drawing/2014/main" id="{74335AE1-DF51-4591-8D0B-150177165D8A}"/>
            </a:ext>
          </a:extLst>
        </xdr:cNvPr>
        <xdr:cNvSpPr/>
      </xdr:nvSpPr>
      <xdr:spPr>
        <a:xfrm>
          <a:off x="228599" y="723900"/>
          <a:ext cx="1171576" cy="3457575"/>
        </a:xfrm>
        <a:prstGeom prst="roundRect">
          <a:avLst>
            <a:gd name="adj" fmla="val 105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285749</xdr:colOff>
      <xdr:row>5</xdr:row>
      <xdr:rowOff>57150</xdr:rowOff>
    </xdr:from>
    <xdr:to>
      <xdr:col>4</xdr:col>
      <xdr:colOff>509184</xdr:colOff>
      <xdr:row>9</xdr:row>
      <xdr:rowOff>104775</xdr:rowOff>
    </xdr:to>
    <xdr:sp macro="" textlink="'Pivot Report'!A8">
      <xdr:nvSpPr>
        <xdr:cNvPr id="7" name="Rectangle: Rounded Corners 6">
          <a:extLst>
            <a:ext uri="{FF2B5EF4-FFF2-40B4-BE49-F238E27FC236}">
              <a16:creationId xmlns:a16="http://schemas.microsoft.com/office/drawing/2014/main" id="{AEEC8F72-0F81-4B66-A591-675DD3D0D3FE}"/>
            </a:ext>
          </a:extLst>
        </xdr:cNvPr>
        <xdr:cNvSpPr/>
      </xdr:nvSpPr>
      <xdr:spPr>
        <a:xfrm>
          <a:off x="1504949" y="1009650"/>
          <a:ext cx="1442635" cy="809625"/>
        </a:xfrm>
        <a:prstGeom prst="roundRect">
          <a:avLst>
            <a:gd name="adj" fmla="val 105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AD6742B-72AF-4DD2-8644-B7342F09A831}" type="TxLink">
            <a:rPr lang="en-US" sz="1400" b="0" i="0" u="none" strike="noStrike">
              <a:solidFill>
                <a:srgbClr val="000000"/>
              </a:solidFill>
              <a:latin typeface="Calibri"/>
              <a:cs typeface="Calibri"/>
            </a:rPr>
            <a:pPr algn="ctr"/>
            <a:t>471</a:t>
          </a:fld>
          <a:endParaRPr lang="en-US" sz="1400"/>
        </a:p>
      </xdr:txBody>
    </xdr:sp>
    <xdr:clientData/>
  </xdr:twoCellAnchor>
  <xdr:twoCellAnchor>
    <xdr:from>
      <xdr:col>4</xdr:col>
      <xdr:colOff>602302</xdr:colOff>
      <xdr:row>5</xdr:row>
      <xdr:rowOff>47625</xdr:rowOff>
    </xdr:from>
    <xdr:to>
      <xdr:col>7</xdr:col>
      <xdr:colOff>216137</xdr:colOff>
      <xdr:row>9</xdr:row>
      <xdr:rowOff>95250</xdr:rowOff>
    </xdr:to>
    <xdr:sp macro="" textlink="'Pivot Report'!A12">
      <xdr:nvSpPr>
        <xdr:cNvPr id="8" name="Rectangle: Rounded Corners 7">
          <a:extLst>
            <a:ext uri="{FF2B5EF4-FFF2-40B4-BE49-F238E27FC236}">
              <a16:creationId xmlns:a16="http://schemas.microsoft.com/office/drawing/2014/main" id="{EF799182-E650-4DC0-A554-72C2A0BB4723}"/>
            </a:ext>
          </a:extLst>
        </xdr:cNvPr>
        <xdr:cNvSpPr/>
      </xdr:nvSpPr>
      <xdr:spPr>
        <a:xfrm>
          <a:off x="3040702" y="1000125"/>
          <a:ext cx="1442635" cy="809625"/>
        </a:xfrm>
        <a:prstGeom prst="roundRect">
          <a:avLst>
            <a:gd name="adj" fmla="val 105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8293813-D735-4B15-B7AC-2F0471968B32}" type="TxLink">
            <a:rPr lang="en-US" sz="1400" b="0" i="0" u="none" strike="noStrike">
              <a:solidFill>
                <a:srgbClr val="000000"/>
              </a:solidFill>
              <a:latin typeface="Calibri"/>
              <a:cs typeface="Calibri"/>
            </a:rPr>
            <a:pPr algn="ctr"/>
            <a:t>34.05</a:t>
          </a:fld>
          <a:endParaRPr lang="en-US" sz="1400"/>
        </a:p>
      </xdr:txBody>
    </xdr:sp>
    <xdr:clientData/>
  </xdr:twoCellAnchor>
  <xdr:twoCellAnchor>
    <xdr:from>
      <xdr:col>7</xdr:col>
      <xdr:colOff>329015</xdr:colOff>
      <xdr:row>5</xdr:row>
      <xdr:rowOff>47625</xdr:rowOff>
    </xdr:from>
    <xdr:to>
      <xdr:col>9</xdr:col>
      <xdr:colOff>552450</xdr:colOff>
      <xdr:row>9</xdr:row>
      <xdr:rowOff>95250</xdr:rowOff>
    </xdr:to>
    <xdr:sp macro="" textlink="'Pivot Report'!A17">
      <xdr:nvSpPr>
        <xdr:cNvPr id="9" name="Rectangle: Rounded Corners 8">
          <a:extLst>
            <a:ext uri="{FF2B5EF4-FFF2-40B4-BE49-F238E27FC236}">
              <a16:creationId xmlns:a16="http://schemas.microsoft.com/office/drawing/2014/main" id="{2E8BBB95-C7B3-4804-A568-FF1D6336178A}"/>
            </a:ext>
          </a:extLst>
        </xdr:cNvPr>
        <xdr:cNvSpPr/>
      </xdr:nvSpPr>
      <xdr:spPr>
        <a:xfrm>
          <a:off x="4596215" y="1000125"/>
          <a:ext cx="1442635" cy="809625"/>
        </a:xfrm>
        <a:prstGeom prst="roundRect">
          <a:avLst>
            <a:gd name="adj" fmla="val 105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BFE9727-557C-4367-A479-775860041538}" type="TxLink">
            <a:rPr lang="en-US" sz="1400" b="0" i="0" u="none" strike="noStrike">
              <a:solidFill>
                <a:srgbClr val="000000"/>
              </a:solidFill>
              <a:latin typeface="Calibri"/>
              <a:cs typeface="Calibri"/>
            </a:rPr>
            <a:pPr algn="ctr"/>
            <a:t>5.31</a:t>
          </a:fld>
          <a:endParaRPr lang="en-US" sz="1400"/>
        </a:p>
      </xdr:txBody>
    </xdr:sp>
    <xdr:clientData/>
  </xdr:twoCellAnchor>
  <xdr:twoCellAnchor>
    <xdr:from>
      <xdr:col>2</xdr:col>
      <xdr:colOff>268204</xdr:colOff>
      <xdr:row>12</xdr:row>
      <xdr:rowOff>180976</xdr:rowOff>
    </xdr:from>
    <xdr:to>
      <xdr:col>9</xdr:col>
      <xdr:colOff>401554</xdr:colOff>
      <xdr:row>22</xdr:row>
      <xdr:rowOff>9526</xdr:rowOff>
    </xdr:to>
    <xdr:sp macro="" textlink="">
      <xdr:nvSpPr>
        <xdr:cNvPr id="12" name="Rectangle: Rounded Corners 11">
          <a:extLst>
            <a:ext uri="{FF2B5EF4-FFF2-40B4-BE49-F238E27FC236}">
              <a16:creationId xmlns:a16="http://schemas.microsoft.com/office/drawing/2014/main" id="{FDF93410-64FC-4858-9312-BB803A7F6630}"/>
            </a:ext>
          </a:extLst>
        </xdr:cNvPr>
        <xdr:cNvSpPr/>
      </xdr:nvSpPr>
      <xdr:spPr>
        <a:xfrm>
          <a:off x="1491415" y="2466976"/>
          <a:ext cx="4414586" cy="1733550"/>
        </a:xfrm>
        <a:prstGeom prst="roundRect">
          <a:avLst>
            <a:gd name="adj" fmla="val 757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609598</xdr:colOff>
      <xdr:row>0</xdr:row>
      <xdr:rowOff>133351</xdr:rowOff>
    </xdr:from>
    <xdr:to>
      <xdr:col>17</xdr:col>
      <xdr:colOff>491289</xdr:colOff>
      <xdr:row>10</xdr:row>
      <xdr:rowOff>30079</xdr:rowOff>
    </xdr:to>
    <xdr:grpSp>
      <xdr:nvGrpSpPr>
        <xdr:cNvPr id="16" name="Group 15">
          <a:extLst>
            <a:ext uri="{FF2B5EF4-FFF2-40B4-BE49-F238E27FC236}">
              <a16:creationId xmlns:a16="http://schemas.microsoft.com/office/drawing/2014/main" id="{6906CCD4-2A32-4D2C-A384-F01D08182F1C}"/>
            </a:ext>
          </a:extLst>
        </xdr:cNvPr>
        <xdr:cNvGrpSpPr/>
      </xdr:nvGrpSpPr>
      <xdr:grpSpPr>
        <a:xfrm>
          <a:off x="6064825" y="133351"/>
          <a:ext cx="4730782" cy="1801728"/>
          <a:chOff x="6096000" y="133351"/>
          <a:chExt cx="3333750" cy="1400174"/>
        </a:xfrm>
      </xdr:grpSpPr>
      <xdr:sp macro="" textlink="">
        <xdr:nvSpPr>
          <xdr:cNvPr id="4" name="Rectangle: Rounded Corners 3">
            <a:extLst>
              <a:ext uri="{FF2B5EF4-FFF2-40B4-BE49-F238E27FC236}">
                <a16:creationId xmlns:a16="http://schemas.microsoft.com/office/drawing/2014/main" id="{6C2EEC47-8C3C-40CA-B9B1-C888D5DEA2B1}"/>
              </a:ext>
            </a:extLst>
          </xdr:cNvPr>
          <xdr:cNvSpPr/>
        </xdr:nvSpPr>
        <xdr:spPr>
          <a:xfrm>
            <a:off x="6096000" y="133351"/>
            <a:ext cx="1628775" cy="1400174"/>
          </a:xfrm>
          <a:prstGeom prst="roundRect">
            <a:avLst>
              <a:gd name="adj" fmla="val 734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6E662BC0-8569-4EA1-A6D1-D698175F3AF6}"/>
              </a:ext>
            </a:extLst>
          </xdr:cNvPr>
          <xdr:cNvSpPr/>
        </xdr:nvSpPr>
        <xdr:spPr>
          <a:xfrm>
            <a:off x="7800975" y="133351"/>
            <a:ext cx="1628775" cy="1400174"/>
          </a:xfrm>
          <a:prstGeom prst="roundRect">
            <a:avLst>
              <a:gd name="adj" fmla="val 734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9</xdr:col>
      <xdr:colOff>552450</xdr:colOff>
      <xdr:row>10</xdr:row>
      <xdr:rowOff>110289</xdr:rowOff>
    </xdr:from>
    <xdr:to>
      <xdr:col>17</xdr:col>
      <xdr:colOff>491290</xdr:colOff>
      <xdr:row>22</xdr:row>
      <xdr:rowOff>0</xdr:rowOff>
    </xdr:to>
    <xdr:sp macro="" textlink="">
      <xdr:nvSpPr>
        <xdr:cNvPr id="15" name="Rectangle: Rounded Corners 14">
          <a:extLst>
            <a:ext uri="{FF2B5EF4-FFF2-40B4-BE49-F238E27FC236}">
              <a16:creationId xmlns:a16="http://schemas.microsoft.com/office/drawing/2014/main" id="{7CA66E94-9756-4E02-9E16-E2C2137FFF96}"/>
            </a:ext>
          </a:extLst>
        </xdr:cNvPr>
        <xdr:cNvSpPr/>
      </xdr:nvSpPr>
      <xdr:spPr>
        <a:xfrm>
          <a:off x="6056897" y="2015289"/>
          <a:ext cx="4831682" cy="2175711"/>
        </a:xfrm>
        <a:prstGeom prst="roundRect">
          <a:avLst>
            <a:gd name="adj" fmla="val 734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0</xdr:row>
      <xdr:rowOff>66675</xdr:rowOff>
    </xdr:from>
    <xdr:to>
      <xdr:col>1</xdr:col>
      <xdr:colOff>406246</xdr:colOff>
      <xdr:row>3</xdr:row>
      <xdr:rowOff>142874</xdr:rowOff>
    </xdr:to>
    <xdr:pic>
      <xdr:nvPicPr>
        <xdr:cNvPr id="18" name="Picture 17">
          <a:extLst>
            <a:ext uri="{FF2B5EF4-FFF2-40B4-BE49-F238E27FC236}">
              <a16:creationId xmlns:a16="http://schemas.microsoft.com/office/drawing/2014/main" id="{EC831514-2925-418B-9777-FA680867CA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66675"/>
          <a:ext cx="901546" cy="647699"/>
        </a:xfrm>
        <a:prstGeom prst="rect">
          <a:avLst/>
        </a:prstGeom>
      </xdr:spPr>
    </xdr:pic>
    <xdr:clientData/>
  </xdr:twoCellAnchor>
  <xdr:oneCellAnchor>
    <xdr:from>
      <xdr:col>3</xdr:col>
      <xdr:colOff>266700</xdr:colOff>
      <xdr:row>2</xdr:row>
      <xdr:rowOff>152400</xdr:rowOff>
    </xdr:from>
    <xdr:ext cx="184731" cy="264560"/>
    <xdr:sp macro="" textlink="">
      <xdr:nvSpPr>
        <xdr:cNvPr id="23" name="TextBox 22">
          <a:extLst>
            <a:ext uri="{FF2B5EF4-FFF2-40B4-BE49-F238E27FC236}">
              <a16:creationId xmlns:a16="http://schemas.microsoft.com/office/drawing/2014/main" id="{ABE5D4D8-45FA-427D-AA37-B552B2A8949B}"/>
            </a:ext>
          </a:extLst>
        </xdr:cNvPr>
        <xdr:cNvSpPr txBox="1"/>
      </xdr:nvSpPr>
      <xdr:spPr>
        <a:xfrm>
          <a:off x="2095500" y="533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333376</xdr:colOff>
      <xdr:row>2</xdr:row>
      <xdr:rowOff>19049</xdr:rowOff>
    </xdr:from>
    <xdr:ext cx="1209674" cy="219075"/>
    <xdr:sp macro="" textlink="">
      <xdr:nvSpPr>
        <xdr:cNvPr id="25" name="TextBox 24">
          <a:extLst>
            <a:ext uri="{FF2B5EF4-FFF2-40B4-BE49-F238E27FC236}">
              <a16:creationId xmlns:a16="http://schemas.microsoft.com/office/drawing/2014/main" id="{B4D85BFA-8056-43F9-B801-316BDCD66B01}"/>
            </a:ext>
          </a:extLst>
        </xdr:cNvPr>
        <xdr:cNvSpPr txBox="1"/>
      </xdr:nvSpPr>
      <xdr:spPr>
        <a:xfrm>
          <a:off x="1552576" y="400049"/>
          <a:ext cx="1209674"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200">
              <a:solidFill>
                <a:schemeClr val="bg1"/>
              </a:solidFill>
            </a:rPr>
            <a:t>Monthly Report</a:t>
          </a:r>
        </a:p>
      </xdr:txBody>
    </xdr:sp>
    <xdr:clientData/>
  </xdr:oneCellAnchor>
  <xdr:oneCellAnchor>
    <xdr:from>
      <xdr:col>2</xdr:col>
      <xdr:colOff>504825</xdr:colOff>
      <xdr:row>6</xdr:row>
      <xdr:rowOff>171450</xdr:rowOff>
    </xdr:from>
    <xdr:ext cx="1057275" cy="419099"/>
    <xdr:sp macro="" textlink="">
      <xdr:nvSpPr>
        <xdr:cNvPr id="28" name="TextBox 27">
          <a:extLst>
            <a:ext uri="{FF2B5EF4-FFF2-40B4-BE49-F238E27FC236}">
              <a16:creationId xmlns:a16="http://schemas.microsoft.com/office/drawing/2014/main" id="{25A788A1-A234-4078-8ABD-BB6235E32894}"/>
            </a:ext>
          </a:extLst>
        </xdr:cNvPr>
        <xdr:cNvSpPr txBox="1"/>
      </xdr:nvSpPr>
      <xdr:spPr>
        <a:xfrm>
          <a:off x="1724025" y="1314450"/>
          <a:ext cx="1057275" cy="419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US" sz="1100">
              <a:solidFill>
                <a:schemeClr val="bg1"/>
              </a:solidFill>
            </a:rPr>
            <a:t>No.</a:t>
          </a:r>
          <a:r>
            <a:rPr lang="en-US" sz="1100" baseline="0">
              <a:solidFill>
                <a:schemeClr val="bg1"/>
              </a:solidFill>
            </a:rPr>
            <a:t> of Patient</a:t>
          </a:r>
        </a:p>
        <a:p>
          <a:endParaRPr lang="en-US" sz="1100">
            <a:solidFill>
              <a:schemeClr val="bg1"/>
            </a:solidFill>
          </a:endParaRPr>
        </a:p>
      </xdr:txBody>
    </xdr:sp>
    <xdr:clientData/>
  </xdr:oneCellAnchor>
  <xdr:oneCellAnchor>
    <xdr:from>
      <xdr:col>5</xdr:col>
      <xdr:colOff>104775</xdr:colOff>
      <xdr:row>6</xdr:row>
      <xdr:rowOff>133349</xdr:rowOff>
    </xdr:from>
    <xdr:ext cx="1266825" cy="323851"/>
    <xdr:sp macro="" textlink="">
      <xdr:nvSpPr>
        <xdr:cNvPr id="31" name="TextBox 30">
          <a:extLst>
            <a:ext uri="{FF2B5EF4-FFF2-40B4-BE49-F238E27FC236}">
              <a16:creationId xmlns:a16="http://schemas.microsoft.com/office/drawing/2014/main" id="{3A893F18-4614-4EA7-9AFF-32E1278BE8CE}"/>
            </a:ext>
          </a:extLst>
        </xdr:cNvPr>
        <xdr:cNvSpPr txBox="1"/>
      </xdr:nvSpPr>
      <xdr:spPr>
        <a:xfrm>
          <a:off x="3152775" y="1276349"/>
          <a:ext cx="1266825" cy="323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US" sz="1100">
              <a:solidFill>
                <a:schemeClr val="bg1"/>
              </a:solidFill>
            </a:rPr>
            <a:t>Avearage Wait Time</a:t>
          </a:r>
        </a:p>
      </xdr:txBody>
    </xdr:sp>
    <xdr:clientData/>
  </xdr:oneCellAnchor>
  <xdr:oneCellAnchor>
    <xdr:from>
      <xdr:col>7</xdr:col>
      <xdr:colOff>330870</xdr:colOff>
      <xdr:row>7</xdr:row>
      <xdr:rowOff>17774</xdr:rowOff>
    </xdr:from>
    <xdr:ext cx="1474851" cy="227171"/>
    <xdr:sp macro="" textlink="">
      <xdr:nvSpPr>
        <xdr:cNvPr id="32" name="TextBox 31">
          <a:extLst>
            <a:ext uri="{FF2B5EF4-FFF2-40B4-BE49-F238E27FC236}">
              <a16:creationId xmlns:a16="http://schemas.microsoft.com/office/drawing/2014/main" id="{F5281105-9166-40FB-8CC9-F66834BD809F}"/>
            </a:ext>
          </a:extLst>
        </xdr:cNvPr>
        <xdr:cNvSpPr txBox="1"/>
      </xdr:nvSpPr>
      <xdr:spPr>
        <a:xfrm>
          <a:off x="4612107" y="1351274"/>
          <a:ext cx="1474851" cy="227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1100">
              <a:solidFill>
                <a:schemeClr val="bg1"/>
              </a:solidFill>
            </a:rPr>
            <a:t>Patient</a:t>
          </a:r>
          <a:r>
            <a:rPr lang="en-US" sz="1100" baseline="0">
              <a:solidFill>
                <a:schemeClr val="bg1"/>
              </a:solidFill>
            </a:rPr>
            <a:t> Satisfaction Score</a:t>
          </a:r>
          <a:endParaRPr lang="en-US" sz="1100">
            <a:solidFill>
              <a:schemeClr val="bg1"/>
            </a:solidFill>
          </a:endParaRPr>
        </a:p>
      </xdr:txBody>
    </xdr:sp>
    <xdr:clientData/>
  </xdr:oneCellAnchor>
  <xdr:twoCellAnchor editAs="oneCell">
    <xdr:from>
      <xdr:col>4</xdr:col>
      <xdr:colOff>114300</xdr:colOff>
      <xdr:row>5</xdr:row>
      <xdr:rowOff>38100</xdr:rowOff>
    </xdr:from>
    <xdr:to>
      <xdr:col>4</xdr:col>
      <xdr:colOff>476249</xdr:colOff>
      <xdr:row>7</xdr:row>
      <xdr:rowOff>19049</xdr:rowOff>
    </xdr:to>
    <xdr:pic>
      <xdr:nvPicPr>
        <xdr:cNvPr id="35" name="Graphic 34" descr="Male profile">
          <a:extLst>
            <a:ext uri="{FF2B5EF4-FFF2-40B4-BE49-F238E27FC236}">
              <a16:creationId xmlns:a16="http://schemas.microsoft.com/office/drawing/2014/main" id="{C0235A34-2798-4D35-87FC-4CB0DBA891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552700" y="990600"/>
          <a:ext cx="361949" cy="361949"/>
        </a:xfrm>
        <a:prstGeom prst="rect">
          <a:avLst/>
        </a:prstGeom>
      </xdr:spPr>
    </xdr:pic>
    <xdr:clientData/>
  </xdr:twoCellAnchor>
  <xdr:twoCellAnchor editAs="oneCell">
    <xdr:from>
      <xdr:col>6</xdr:col>
      <xdr:colOff>457200</xdr:colOff>
      <xdr:row>5</xdr:row>
      <xdr:rowOff>66675</xdr:rowOff>
    </xdr:from>
    <xdr:to>
      <xdr:col>7</xdr:col>
      <xdr:colOff>171450</xdr:colOff>
      <xdr:row>7</xdr:row>
      <xdr:rowOff>9525</xdr:rowOff>
    </xdr:to>
    <xdr:pic>
      <xdr:nvPicPr>
        <xdr:cNvPr id="37" name="Graphic 36" descr="Hourglass">
          <a:extLst>
            <a:ext uri="{FF2B5EF4-FFF2-40B4-BE49-F238E27FC236}">
              <a16:creationId xmlns:a16="http://schemas.microsoft.com/office/drawing/2014/main" id="{DF769DF5-2A16-4833-8206-95572D0E6D2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114800" y="1019175"/>
          <a:ext cx="323850" cy="323850"/>
        </a:xfrm>
        <a:prstGeom prst="rect">
          <a:avLst/>
        </a:prstGeom>
      </xdr:spPr>
    </xdr:pic>
    <xdr:clientData/>
  </xdr:twoCellAnchor>
  <xdr:twoCellAnchor editAs="oneCell">
    <xdr:from>
      <xdr:col>9</xdr:col>
      <xdr:colOff>133349</xdr:colOff>
      <xdr:row>5</xdr:row>
      <xdr:rowOff>66674</xdr:rowOff>
    </xdr:from>
    <xdr:to>
      <xdr:col>9</xdr:col>
      <xdr:colOff>504824</xdr:colOff>
      <xdr:row>7</xdr:row>
      <xdr:rowOff>57149</xdr:rowOff>
    </xdr:to>
    <xdr:pic>
      <xdr:nvPicPr>
        <xdr:cNvPr id="39" name="Graphic 38" descr="Customer review">
          <a:extLst>
            <a:ext uri="{FF2B5EF4-FFF2-40B4-BE49-F238E27FC236}">
              <a16:creationId xmlns:a16="http://schemas.microsoft.com/office/drawing/2014/main" id="{DC1DDBAB-8962-4B02-9D68-76AE76D8951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619749" y="1019174"/>
          <a:ext cx="371475" cy="371475"/>
        </a:xfrm>
        <a:prstGeom prst="rect">
          <a:avLst/>
        </a:prstGeom>
      </xdr:spPr>
    </xdr:pic>
    <xdr:clientData/>
  </xdr:twoCellAnchor>
  <xdr:twoCellAnchor editAs="oneCell">
    <xdr:from>
      <xdr:col>0</xdr:col>
      <xdr:colOff>285749</xdr:colOff>
      <xdr:row>4</xdr:row>
      <xdr:rowOff>19050</xdr:rowOff>
    </xdr:from>
    <xdr:to>
      <xdr:col>2</xdr:col>
      <xdr:colOff>152399</xdr:colOff>
      <xdr:row>21</xdr:row>
      <xdr:rowOff>123825</xdr:rowOff>
    </xdr:to>
    <mc:AlternateContent xmlns:mc="http://schemas.openxmlformats.org/markup-compatibility/2006" xmlns:a14="http://schemas.microsoft.com/office/drawing/2010/main">
      <mc:Choice Requires="a14">
        <xdr:graphicFrame macro="">
          <xdr:nvGraphicFramePr>
            <xdr:cNvPr id="24" name="Date (Month) 1">
              <a:extLst>
                <a:ext uri="{FF2B5EF4-FFF2-40B4-BE49-F238E27FC236}">
                  <a16:creationId xmlns:a16="http://schemas.microsoft.com/office/drawing/2014/main" id="{D5F12EEB-C715-4E00-B382-24C31DB2A6D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85749" y="781050"/>
              <a:ext cx="1089861" cy="3343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600075</xdr:colOff>
      <xdr:row>7</xdr:row>
      <xdr:rowOff>161924</xdr:rowOff>
    </xdr:from>
    <xdr:to>
      <xdr:col>7</xdr:col>
      <xdr:colOff>228601</xdr:colOff>
      <xdr:row>9</xdr:row>
      <xdr:rowOff>95250</xdr:rowOff>
    </xdr:to>
    <xdr:graphicFrame macro="">
      <xdr:nvGraphicFramePr>
        <xdr:cNvPr id="29" name="Chart 28">
          <a:hlinkClick xmlns:r="http://schemas.openxmlformats.org/officeDocument/2006/relationships" r:id="rId8"/>
          <a:extLst>
            <a:ext uri="{FF2B5EF4-FFF2-40B4-BE49-F238E27FC236}">
              <a16:creationId xmlns:a16="http://schemas.microsoft.com/office/drawing/2014/main" id="{C7ED7B74-E479-4766-B695-74CA044FA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290762</xdr:colOff>
      <xdr:row>7</xdr:row>
      <xdr:rowOff>100264</xdr:rowOff>
    </xdr:from>
    <xdr:to>
      <xdr:col>4</xdr:col>
      <xdr:colOff>511341</xdr:colOff>
      <xdr:row>9</xdr:row>
      <xdr:rowOff>90237</xdr:rowOff>
    </xdr:to>
    <xdr:graphicFrame macro="">
      <xdr:nvGraphicFramePr>
        <xdr:cNvPr id="30" name="Chart 29">
          <a:hlinkClick xmlns:r="http://schemas.openxmlformats.org/officeDocument/2006/relationships" r:id="rId10"/>
          <a:extLst>
            <a:ext uri="{FF2B5EF4-FFF2-40B4-BE49-F238E27FC236}">
              <a16:creationId xmlns:a16="http://schemas.microsoft.com/office/drawing/2014/main" id="{C6FC0F4F-6E36-4EE4-B83C-922EBB6EB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340894</xdr:colOff>
      <xdr:row>8</xdr:row>
      <xdr:rowOff>0</xdr:rowOff>
    </xdr:from>
    <xdr:to>
      <xdr:col>9</xdr:col>
      <xdr:colOff>551447</xdr:colOff>
      <xdr:row>9</xdr:row>
      <xdr:rowOff>90236</xdr:rowOff>
    </xdr:to>
    <xdr:graphicFrame macro="">
      <xdr:nvGraphicFramePr>
        <xdr:cNvPr id="27" name="Chart 26">
          <a:hlinkClick xmlns:r="http://schemas.openxmlformats.org/officeDocument/2006/relationships" r:id="rId12"/>
          <a:extLst>
            <a:ext uri="{FF2B5EF4-FFF2-40B4-BE49-F238E27FC236}">
              <a16:creationId xmlns:a16="http://schemas.microsoft.com/office/drawing/2014/main" id="{DE4F20D0-008F-4667-B7C9-222FE423A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291048</xdr:colOff>
          <xdr:row>10</xdr:row>
          <xdr:rowOff>10027</xdr:rowOff>
        </xdr:from>
        <xdr:to>
          <xdr:col>9</xdr:col>
          <xdr:colOff>517804</xdr:colOff>
          <xdr:row>12</xdr:row>
          <xdr:rowOff>88284</xdr:rowOff>
        </xdr:to>
        <xdr:pic>
          <xdr:nvPicPr>
            <xdr:cNvPr id="43" name="Picture 42">
              <a:extLst>
                <a:ext uri="{FF2B5EF4-FFF2-40B4-BE49-F238E27FC236}">
                  <a16:creationId xmlns:a16="http://schemas.microsoft.com/office/drawing/2014/main" id="{F4A58C99-A018-4827-8F52-C6CC880C4987}"/>
                </a:ext>
              </a:extLst>
            </xdr:cNvPr>
            <xdr:cNvPicPr>
              <a:picLocks noChangeAspect="1" noChangeArrowheads="1"/>
              <a:extLst>
                <a:ext uri="{84589F7E-364E-4C9E-8A38-B11213B215E9}">
                  <a14:cameraTool cellRange="'Pivot Report'!$A$50:$D$52" spid="_x0000_s2115"/>
                </a:ext>
              </a:extLst>
            </xdr:cNvPicPr>
          </xdr:nvPicPr>
          <xdr:blipFill>
            <a:blip xmlns:r="http://schemas.openxmlformats.org/officeDocument/2006/relationships" r:embed="rId14">
              <a:lum/>
            </a:blip>
            <a:srcRect/>
            <a:stretch>
              <a:fillRect/>
            </a:stretch>
          </xdr:blipFill>
          <xdr:spPr bwMode="auto">
            <a:xfrm>
              <a:off x="1514259" y="1915027"/>
              <a:ext cx="4507992" cy="459257"/>
            </a:xfrm>
            <a:prstGeom prst="roundRect">
              <a:avLst>
                <a:gd name="adj" fmla="val 16667"/>
              </a:avLst>
            </a:prstGeom>
            <a:ln>
              <a:noFill/>
            </a:ln>
            <a:effectLst>
              <a:glow rad="63500">
                <a:schemeClr val="accent1">
                  <a:satMod val="175000"/>
                  <a:alpha val="40000"/>
                </a:schemeClr>
              </a:glow>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240632</xdr:colOff>
      <xdr:row>13</xdr:row>
      <xdr:rowOff>10026</xdr:rowOff>
    </xdr:from>
    <xdr:to>
      <xdr:col>9</xdr:col>
      <xdr:colOff>381001</xdr:colOff>
      <xdr:row>21</xdr:row>
      <xdr:rowOff>170447</xdr:rowOff>
    </xdr:to>
    <xdr:graphicFrame macro="">
      <xdr:nvGraphicFramePr>
        <xdr:cNvPr id="33" name="Chart 32">
          <a:extLst>
            <a:ext uri="{FF2B5EF4-FFF2-40B4-BE49-F238E27FC236}">
              <a16:creationId xmlns:a16="http://schemas.microsoft.com/office/drawing/2014/main" id="{0C4F7C03-BC46-4410-9E92-A7FD55837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294773</xdr:colOff>
      <xdr:row>20</xdr:row>
      <xdr:rowOff>94249</xdr:rowOff>
    </xdr:from>
    <xdr:to>
      <xdr:col>7</xdr:col>
      <xdr:colOff>290763</xdr:colOff>
      <xdr:row>21</xdr:row>
      <xdr:rowOff>180475</xdr:rowOff>
    </xdr:to>
    <xdr:sp macro="" textlink="">
      <xdr:nvSpPr>
        <xdr:cNvPr id="5" name="TextBox 4">
          <a:extLst>
            <a:ext uri="{FF2B5EF4-FFF2-40B4-BE49-F238E27FC236}">
              <a16:creationId xmlns:a16="http://schemas.microsoft.com/office/drawing/2014/main" id="{F2A264D1-9BE1-4054-9843-852EA5928359}"/>
            </a:ext>
          </a:extLst>
        </xdr:cNvPr>
        <xdr:cNvSpPr txBox="1"/>
      </xdr:nvSpPr>
      <xdr:spPr>
        <a:xfrm>
          <a:off x="2741194" y="3904249"/>
          <a:ext cx="1830806" cy="27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No. of Patient by Age Group</a:t>
          </a:r>
        </a:p>
      </xdr:txBody>
    </xdr:sp>
    <xdr:clientData/>
  </xdr:twoCellAnchor>
  <xdr:twoCellAnchor>
    <xdr:from>
      <xdr:col>10</xdr:col>
      <xdr:colOff>0</xdr:colOff>
      <xdr:row>0</xdr:row>
      <xdr:rowOff>90238</xdr:rowOff>
    </xdr:from>
    <xdr:to>
      <xdr:col>13</xdr:col>
      <xdr:colOff>160420</xdr:colOff>
      <xdr:row>8</xdr:row>
      <xdr:rowOff>180474</xdr:rowOff>
    </xdr:to>
    <xdr:graphicFrame macro="">
      <xdr:nvGraphicFramePr>
        <xdr:cNvPr id="38" name="Chart 37">
          <a:extLst>
            <a:ext uri="{FF2B5EF4-FFF2-40B4-BE49-F238E27FC236}">
              <a16:creationId xmlns:a16="http://schemas.microsoft.com/office/drawing/2014/main" id="{341208E6-AD80-45BF-B1A8-5BCFC4CE6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280736</xdr:colOff>
      <xdr:row>8</xdr:row>
      <xdr:rowOff>140368</xdr:rowOff>
    </xdr:from>
    <xdr:to>
      <xdr:col>13</xdr:col>
      <xdr:colOff>80210</xdr:colOff>
      <xdr:row>10</xdr:row>
      <xdr:rowOff>10026</xdr:rowOff>
    </xdr:to>
    <xdr:sp macro="" textlink="">
      <xdr:nvSpPr>
        <xdr:cNvPr id="11" name="TextBox 10">
          <a:extLst>
            <a:ext uri="{FF2B5EF4-FFF2-40B4-BE49-F238E27FC236}">
              <a16:creationId xmlns:a16="http://schemas.microsoft.com/office/drawing/2014/main" id="{F0525A02-7358-4DC2-9556-E10BEA591D64}"/>
            </a:ext>
          </a:extLst>
        </xdr:cNvPr>
        <xdr:cNvSpPr txBox="1"/>
      </xdr:nvSpPr>
      <xdr:spPr>
        <a:xfrm>
          <a:off x="6396789" y="1664368"/>
          <a:ext cx="1634289"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Patient</a:t>
          </a:r>
          <a:r>
            <a:rPr lang="en-US" sz="1100" baseline="0"/>
            <a:t> </a:t>
          </a:r>
          <a:r>
            <a:rPr lang="en-US" sz="1100" baseline="0">
              <a:solidFill>
                <a:schemeClr val="bg1"/>
              </a:solidFill>
            </a:rPr>
            <a:t>Attended</a:t>
          </a:r>
          <a:r>
            <a:rPr lang="en-US" sz="1100" baseline="0"/>
            <a:t> </a:t>
          </a:r>
          <a:r>
            <a:rPr lang="en-US" sz="1100" baseline="0">
              <a:solidFill>
                <a:schemeClr val="bg1"/>
              </a:solidFill>
            </a:rPr>
            <a:t>Status</a:t>
          </a:r>
          <a:endParaRPr lang="en-US" sz="1100">
            <a:solidFill>
              <a:schemeClr val="bg1"/>
            </a:solidFill>
          </a:endParaRPr>
        </a:p>
      </xdr:txBody>
    </xdr:sp>
    <xdr:clientData/>
  </xdr:twoCellAnchor>
  <xdr:twoCellAnchor>
    <xdr:from>
      <xdr:col>14</xdr:col>
      <xdr:colOff>30078</xdr:colOff>
      <xdr:row>1</xdr:row>
      <xdr:rowOff>10026</xdr:rowOff>
    </xdr:from>
    <xdr:to>
      <xdr:col>17</xdr:col>
      <xdr:colOff>120316</xdr:colOff>
      <xdr:row>10</xdr:row>
      <xdr:rowOff>30079</xdr:rowOff>
    </xdr:to>
    <xdr:graphicFrame macro="">
      <xdr:nvGraphicFramePr>
        <xdr:cNvPr id="40" name="Chart 39">
          <a:extLst>
            <a:ext uri="{FF2B5EF4-FFF2-40B4-BE49-F238E27FC236}">
              <a16:creationId xmlns:a16="http://schemas.microsoft.com/office/drawing/2014/main" id="{BCD638EA-5CF3-40C3-969A-C5AC4DAE6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25661</xdr:colOff>
      <xdr:row>8</xdr:row>
      <xdr:rowOff>120316</xdr:rowOff>
    </xdr:from>
    <xdr:to>
      <xdr:col>16</xdr:col>
      <xdr:colOff>451183</xdr:colOff>
      <xdr:row>9</xdr:row>
      <xdr:rowOff>180474</xdr:rowOff>
    </xdr:to>
    <xdr:sp macro="" textlink="">
      <xdr:nvSpPr>
        <xdr:cNvPr id="17" name="TextBox 16">
          <a:extLst>
            <a:ext uri="{FF2B5EF4-FFF2-40B4-BE49-F238E27FC236}">
              <a16:creationId xmlns:a16="http://schemas.microsoft.com/office/drawing/2014/main" id="{4B349E5C-21B7-479B-8076-787DCE830A93}"/>
            </a:ext>
          </a:extLst>
        </xdr:cNvPr>
        <xdr:cNvSpPr txBox="1"/>
      </xdr:nvSpPr>
      <xdr:spPr>
        <a:xfrm flipH="1">
          <a:off x="8588135" y="1644316"/>
          <a:ext cx="1648732"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Gender Wise</a:t>
          </a:r>
          <a:r>
            <a:rPr lang="en-US" sz="1100" baseline="0">
              <a:solidFill>
                <a:schemeClr val="bg1"/>
              </a:solidFill>
            </a:rPr>
            <a:t> Analysis</a:t>
          </a:r>
          <a:endParaRPr lang="en-US" sz="1100">
            <a:solidFill>
              <a:schemeClr val="bg1"/>
            </a:solidFill>
          </a:endParaRPr>
        </a:p>
      </xdr:txBody>
    </xdr:sp>
    <xdr:clientData/>
  </xdr:twoCellAnchor>
  <xdr:twoCellAnchor>
    <xdr:from>
      <xdr:col>10</xdr:col>
      <xdr:colOff>50131</xdr:colOff>
      <xdr:row>11</xdr:row>
      <xdr:rowOff>40105</xdr:rowOff>
    </xdr:from>
    <xdr:to>
      <xdr:col>17</xdr:col>
      <xdr:colOff>330869</xdr:colOff>
      <xdr:row>21</xdr:row>
      <xdr:rowOff>130342</xdr:rowOff>
    </xdr:to>
    <xdr:graphicFrame macro="">
      <xdr:nvGraphicFramePr>
        <xdr:cNvPr id="41" name="Chart 40">
          <a:extLst>
            <a:ext uri="{FF2B5EF4-FFF2-40B4-BE49-F238E27FC236}">
              <a16:creationId xmlns:a16="http://schemas.microsoft.com/office/drawing/2014/main" id="{342A48DD-A013-4348-AB6E-6BBD8EBDC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11</xdr:col>
      <xdr:colOff>501315</xdr:colOff>
      <xdr:row>20</xdr:row>
      <xdr:rowOff>70185</xdr:rowOff>
    </xdr:from>
    <xdr:ext cx="2320764" cy="264560"/>
    <xdr:sp macro="" textlink="">
      <xdr:nvSpPr>
        <xdr:cNvPr id="19" name="TextBox 18">
          <a:extLst>
            <a:ext uri="{FF2B5EF4-FFF2-40B4-BE49-F238E27FC236}">
              <a16:creationId xmlns:a16="http://schemas.microsoft.com/office/drawing/2014/main" id="{CADCE65A-E08F-4EF3-9687-E2F12C33F2CA}"/>
            </a:ext>
          </a:extLst>
        </xdr:cNvPr>
        <xdr:cNvSpPr txBox="1"/>
      </xdr:nvSpPr>
      <xdr:spPr>
        <a:xfrm>
          <a:off x="7228973" y="3880185"/>
          <a:ext cx="23207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100">
              <a:solidFill>
                <a:schemeClr val="bg1"/>
              </a:solidFill>
            </a:rPr>
            <a:t>No.</a:t>
          </a:r>
          <a:r>
            <a:rPr lang="en-US" sz="1100" baseline="0">
              <a:solidFill>
                <a:schemeClr val="bg1"/>
              </a:solidFill>
            </a:rPr>
            <a:t> of Patient by Department Referal</a:t>
          </a:r>
          <a:endParaRPr lang="en-US" sz="1100">
            <a:solidFill>
              <a:schemeClr val="bg1"/>
            </a:solidFill>
          </a:endParaRPr>
        </a:p>
      </xdr:txBody>
    </xdr:sp>
    <xdr:clientData/>
  </xdr:oneCellAnchor>
  <xdr:twoCellAnchor editAs="oneCell">
    <xdr:from>
      <xdr:col>7</xdr:col>
      <xdr:colOff>160421</xdr:colOff>
      <xdr:row>1</xdr:row>
      <xdr:rowOff>50131</xdr:rowOff>
    </xdr:from>
    <xdr:to>
      <xdr:col>9</xdr:col>
      <xdr:colOff>400251</xdr:colOff>
      <xdr:row>4</xdr:row>
      <xdr:rowOff>27271</xdr:rowOff>
    </xdr:to>
    <mc:AlternateContent xmlns:mc="http://schemas.openxmlformats.org/markup-compatibility/2006" xmlns:a14="http://schemas.microsoft.com/office/drawing/2010/main">
      <mc:Choice Requires="a14">
        <xdr:graphicFrame macro="">
          <xdr:nvGraphicFramePr>
            <xdr:cNvPr id="42" name="Date (Year) 1">
              <a:extLst>
                <a:ext uri="{FF2B5EF4-FFF2-40B4-BE49-F238E27FC236}">
                  <a16:creationId xmlns:a16="http://schemas.microsoft.com/office/drawing/2014/main" id="{4FE934BF-74E7-4FEA-B71F-8533491E3A7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403376" y="240631"/>
              <a:ext cx="1452102"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0.49887</cdr:x>
      <cdr:y>0.79167</cdr:y>
    </cdr:from>
    <cdr:to>
      <cdr:x>0.82993</cdr:x>
      <cdr:y>1</cdr:y>
    </cdr:to>
    <cdr:sp macro="" textlink="">
      <cdr:nvSpPr>
        <cdr:cNvPr id="2" name="TextBox 1">
          <a:extLst xmlns:a="http://schemas.openxmlformats.org/drawingml/2006/main">
            <a:ext uri="{FF2B5EF4-FFF2-40B4-BE49-F238E27FC236}">
              <a16:creationId xmlns:a16="http://schemas.microsoft.com/office/drawing/2014/main" id="{FADE47ED-4B52-4638-AA58-F890EC5F8024}"/>
            </a:ext>
          </a:extLst>
        </cdr:cNvPr>
        <cdr:cNvSpPr txBox="1"/>
      </cdr:nvSpPr>
      <cdr:spPr>
        <a:xfrm xmlns:a="http://schemas.openxmlformats.org/drawingml/2006/main">
          <a:off x="2205789" y="1333499"/>
          <a:ext cx="1463842" cy="3509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285750</xdr:colOff>
      <xdr:row>0</xdr:row>
      <xdr:rowOff>152399</xdr:rowOff>
    </xdr:from>
    <xdr:to>
      <xdr:col>11</xdr:col>
      <xdr:colOff>190499</xdr:colOff>
      <xdr:row>18</xdr:row>
      <xdr:rowOff>171450</xdr:rowOff>
    </xdr:to>
    <xdr:graphicFrame macro="">
      <xdr:nvGraphicFramePr>
        <xdr:cNvPr id="2" name="Chart 1">
          <a:extLst>
            <a:ext uri="{FF2B5EF4-FFF2-40B4-BE49-F238E27FC236}">
              <a16:creationId xmlns:a16="http://schemas.microsoft.com/office/drawing/2014/main" id="{1A31FB3F-7C78-4B87-A033-C83A7AEE0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361950</xdr:colOff>
      <xdr:row>16</xdr:row>
      <xdr:rowOff>190499</xdr:rowOff>
    </xdr:from>
    <xdr:ext cx="5267325" cy="542925"/>
    <xdr:sp macro="" textlink="">
      <xdr:nvSpPr>
        <xdr:cNvPr id="3" name="TextBox 2">
          <a:extLst>
            <a:ext uri="{FF2B5EF4-FFF2-40B4-BE49-F238E27FC236}">
              <a16:creationId xmlns:a16="http://schemas.microsoft.com/office/drawing/2014/main" id="{6B2F7022-EB6F-4447-ABA1-DE6842B575FE}"/>
            </a:ext>
          </a:extLst>
        </xdr:cNvPr>
        <xdr:cNvSpPr txBox="1"/>
      </xdr:nvSpPr>
      <xdr:spPr>
        <a:xfrm>
          <a:off x="1581150" y="3238499"/>
          <a:ext cx="5267325" cy="542925"/>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171450" indent="-171450">
            <a:buFont typeface="Arial" panose="020B0604020202020204" pitchFamily="34" charset="0"/>
            <a:buChar char="•"/>
          </a:pPr>
          <a:r>
            <a:rPr lang="en-US" sz="1200"/>
            <a:t>showing daily trend with an area spark line to spot patterns like busy days or seasonal</a:t>
          </a:r>
          <a:r>
            <a:rPr lang="en-US" sz="1200" baseline="0"/>
            <a:t> </a:t>
          </a:r>
          <a:r>
            <a:rPr lang="en-US" sz="1200"/>
            <a:t>trends</a:t>
          </a:r>
        </a:p>
      </xdr:txBody>
    </xdr:sp>
    <xdr:clientData/>
  </xdr:oneCellAnchor>
  <xdr:twoCellAnchor editAs="oneCell">
    <xdr:from>
      <xdr:col>2</xdr:col>
      <xdr:colOff>352424</xdr:colOff>
      <xdr:row>0</xdr:row>
      <xdr:rowOff>133349</xdr:rowOff>
    </xdr:from>
    <xdr:to>
      <xdr:col>3</xdr:col>
      <xdr:colOff>114299</xdr:colOff>
      <xdr:row>2</xdr:row>
      <xdr:rowOff>123824</xdr:rowOff>
    </xdr:to>
    <xdr:pic>
      <xdr:nvPicPr>
        <xdr:cNvPr id="6" name="Graphic 5" descr="Home">
          <a:hlinkClick xmlns:r="http://schemas.openxmlformats.org/officeDocument/2006/relationships" r:id="rId2"/>
          <a:extLst>
            <a:ext uri="{FF2B5EF4-FFF2-40B4-BE49-F238E27FC236}">
              <a16:creationId xmlns:a16="http://schemas.microsoft.com/office/drawing/2014/main" id="{DCEA319D-EFE9-4056-A81B-155223555C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flipH="1">
          <a:off x="1571624" y="133349"/>
          <a:ext cx="371475" cy="371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323850</xdr:colOff>
      <xdr:row>0</xdr:row>
      <xdr:rowOff>104775</xdr:rowOff>
    </xdr:from>
    <xdr:to>
      <xdr:col>13</xdr:col>
      <xdr:colOff>247651</xdr:colOff>
      <xdr:row>19</xdr:row>
      <xdr:rowOff>57151</xdr:rowOff>
    </xdr:to>
    <xdr:graphicFrame macro="">
      <xdr:nvGraphicFramePr>
        <xdr:cNvPr id="2" name="Chart 1">
          <a:extLst>
            <a:ext uri="{FF2B5EF4-FFF2-40B4-BE49-F238E27FC236}">
              <a16:creationId xmlns:a16="http://schemas.microsoft.com/office/drawing/2014/main" id="{D127EFBB-FA3A-447D-996A-D9784C29E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514350</xdr:colOff>
      <xdr:row>15</xdr:row>
      <xdr:rowOff>57151</xdr:rowOff>
    </xdr:from>
    <xdr:ext cx="5381625" cy="447674"/>
    <xdr:sp macro="" textlink="">
      <xdr:nvSpPr>
        <xdr:cNvPr id="3" name="TextBox 2">
          <a:extLst>
            <a:ext uri="{FF2B5EF4-FFF2-40B4-BE49-F238E27FC236}">
              <a16:creationId xmlns:a16="http://schemas.microsoft.com/office/drawing/2014/main" id="{057392AB-79DC-4B61-861B-2B1AFBAB345B}"/>
            </a:ext>
          </a:extLst>
        </xdr:cNvPr>
        <xdr:cNvSpPr txBox="1"/>
      </xdr:nvSpPr>
      <xdr:spPr>
        <a:xfrm>
          <a:off x="514350" y="2914651"/>
          <a:ext cx="5381625" cy="447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a:solidFill>
                <a:schemeClr val="tx1"/>
              </a:solidFill>
              <a:effectLst>
                <a:outerShdw blurRad="50800" dist="38100" dir="2700000" algn="tl" rotWithShape="0">
                  <a:prstClr val="black">
                    <a:alpha val="40000"/>
                  </a:prstClr>
                </a:outerShdw>
              </a:effectLst>
              <a:latin typeface="+mn-lt"/>
              <a:ea typeface="+mn-ea"/>
              <a:cs typeface="+mn-cs"/>
            </a:rPr>
            <a:t>showing daily trend with an area chart to spot</a:t>
          </a:r>
          <a:r>
            <a:rPr lang="en-US" sz="1100" baseline="0">
              <a:solidFill>
                <a:schemeClr val="tx1"/>
              </a:solidFill>
              <a:effectLst>
                <a:outerShdw blurRad="50800" dist="38100" dir="2700000" algn="tl" rotWithShape="0">
                  <a:prstClr val="black">
                    <a:alpha val="40000"/>
                  </a:prstClr>
                </a:outerShdw>
              </a:effectLst>
              <a:latin typeface="+mn-lt"/>
              <a:ea typeface="+mn-ea"/>
              <a:cs typeface="+mn-cs"/>
            </a:rPr>
            <a:t> patient wait time like how much average time is taken to attend patients.</a:t>
          </a:r>
          <a:endParaRPr lang="en-US" sz="1100">
            <a:effectLst>
              <a:outerShdw blurRad="50800" dist="38100" dir="2700000" algn="tl" rotWithShape="0">
                <a:prstClr val="black">
                  <a:alpha val="40000"/>
                </a:prstClr>
              </a:outerShdw>
            </a:effectLst>
          </a:endParaRPr>
        </a:p>
        <a:p>
          <a:endParaRPr lang="en-US" sz="1100"/>
        </a:p>
      </xdr:txBody>
    </xdr:sp>
    <xdr:clientData/>
  </xdr:oneCellAnchor>
  <xdr:twoCellAnchor editAs="oneCell">
    <xdr:from>
      <xdr:col>0</xdr:col>
      <xdr:colOff>390524</xdr:colOff>
      <xdr:row>0</xdr:row>
      <xdr:rowOff>85725</xdr:rowOff>
    </xdr:from>
    <xdr:to>
      <xdr:col>1</xdr:col>
      <xdr:colOff>171449</xdr:colOff>
      <xdr:row>2</xdr:row>
      <xdr:rowOff>95250</xdr:rowOff>
    </xdr:to>
    <xdr:pic>
      <xdr:nvPicPr>
        <xdr:cNvPr id="5" name="Graphic 4" descr="Home">
          <a:hlinkClick xmlns:r="http://schemas.openxmlformats.org/officeDocument/2006/relationships" r:id="rId2"/>
          <a:extLst>
            <a:ext uri="{FF2B5EF4-FFF2-40B4-BE49-F238E27FC236}">
              <a16:creationId xmlns:a16="http://schemas.microsoft.com/office/drawing/2014/main" id="{313C8AED-4FAA-4C11-B1D2-C345C7A4A8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90524" y="85725"/>
          <a:ext cx="390525" cy="390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295275</xdr:colOff>
      <xdr:row>16</xdr:row>
      <xdr:rowOff>38101</xdr:rowOff>
    </xdr:from>
    <xdr:ext cx="5381625" cy="447674"/>
    <xdr:sp macro="" textlink="">
      <xdr:nvSpPr>
        <xdr:cNvPr id="3" name="TextBox 2">
          <a:extLst>
            <a:ext uri="{FF2B5EF4-FFF2-40B4-BE49-F238E27FC236}">
              <a16:creationId xmlns:a16="http://schemas.microsoft.com/office/drawing/2014/main" id="{A63F62FF-26D6-4810-98EF-C711815F15D3}"/>
            </a:ext>
          </a:extLst>
        </xdr:cNvPr>
        <xdr:cNvSpPr txBox="1"/>
      </xdr:nvSpPr>
      <xdr:spPr>
        <a:xfrm>
          <a:off x="904875" y="3086101"/>
          <a:ext cx="5381625" cy="447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a:solidFill>
                <a:schemeClr val="tx1"/>
              </a:solidFill>
              <a:effectLst>
                <a:outerShdw blurRad="50800" dist="38100" dir="2700000" algn="tl" rotWithShape="0">
                  <a:prstClr val="black">
                    <a:alpha val="40000"/>
                  </a:prstClr>
                </a:outerShdw>
              </a:effectLst>
              <a:latin typeface="+mn-lt"/>
              <a:ea typeface="+mn-ea"/>
              <a:cs typeface="+mn-cs"/>
            </a:rPr>
            <a:t>showing daily trend with an area</a:t>
          </a:r>
          <a:r>
            <a:rPr lang="en-US" sz="1100" baseline="0">
              <a:solidFill>
                <a:schemeClr val="tx1"/>
              </a:solidFill>
              <a:effectLst>
                <a:outerShdw blurRad="50800" dist="38100" dir="2700000" algn="tl" rotWithShape="0">
                  <a:prstClr val="black">
                    <a:alpha val="40000"/>
                  </a:prstClr>
                </a:outerShdw>
              </a:effectLst>
              <a:latin typeface="+mn-lt"/>
              <a:ea typeface="+mn-ea"/>
              <a:cs typeface="+mn-cs"/>
            </a:rPr>
            <a:t> chart </a:t>
          </a:r>
          <a:r>
            <a:rPr lang="en-US" sz="1100">
              <a:solidFill>
                <a:schemeClr val="tx1"/>
              </a:solidFill>
              <a:effectLst>
                <a:outerShdw blurRad="50800" dist="38100" dir="2700000" algn="tl" rotWithShape="0">
                  <a:prstClr val="black">
                    <a:alpha val="40000"/>
                  </a:prstClr>
                </a:outerShdw>
              </a:effectLst>
              <a:latin typeface="+mn-lt"/>
              <a:ea typeface="+mn-ea"/>
              <a:cs typeface="+mn-cs"/>
            </a:rPr>
            <a:t>to spot</a:t>
          </a:r>
          <a:r>
            <a:rPr lang="en-US" sz="1100" baseline="0">
              <a:solidFill>
                <a:schemeClr val="tx1"/>
              </a:solidFill>
              <a:effectLst>
                <a:outerShdw blurRad="50800" dist="38100" dir="2700000" algn="tl" rotWithShape="0">
                  <a:prstClr val="black">
                    <a:alpha val="40000"/>
                  </a:prstClr>
                </a:outerShdw>
              </a:effectLst>
              <a:latin typeface="+mn-lt"/>
              <a:ea typeface="+mn-ea"/>
              <a:cs typeface="+mn-cs"/>
            </a:rPr>
            <a:t> patient average saticfaction.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a:effectLst>
              <a:outerShdw blurRad="50800" dist="38100" dir="2700000" algn="tl" rotWithShape="0">
                <a:prstClr val="black">
                  <a:alpha val="40000"/>
                </a:prstClr>
              </a:outerShdw>
            </a:effectLst>
          </a:endParaRPr>
        </a:p>
        <a:p>
          <a:endParaRPr lang="en-US" sz="1100"/>
        </a:p>
      </xdr:txBody>
    </xdr:sp>
    <xdr:clientData/>
  </xdr:oneCellAnchor>
  <xdr:twoCellAnchor>
    <xdr:from>
      <xdr:col>1</xdr:col>
      <xdr:colOff>0</xdr:colOff>
      <xdr:row>0</xdr:row>
      <xdr:rowOff>180974</xdr:rowOff>
    </xdr:from>
    <xdr:to>
      <xdr:col>12</xdr:col>
      <xdr:colOff>600075</xdr:colOff>
      <xdr:row>16</xdr:row>
      <xdr:rowOff>19050</xdr:rowOff>
    </xdr:to>
    <xdr:graphicFrame macro="">
      <xdr:nvGraphicFramePr>
        <xdr:cNvPr id="5" name="Chart 4">
          <a:extLst>
            <a:ext uri="{FF2B5EF4-FFF2-40B4-BE49-F238E27FC236}">
              <a16:creationId xmlns:a16="http://schemas.microsoft.com/office/drawing/2014/main" id="{16259523-5B3D-472F-995B-C5431E289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0.35659</cdr:x>
      <cdr:y>0.89474</cdr:y>
    </cdr:from>
    <cdr:to>
      <cdr:x>0.48062</cdr:x>
      <cdr:y>1</cdr:y>
    </cdr:to>
    <cdr:sp macro="" textlink="">
      <cdr:nvSpPr>
        <cdr:cNvPr id="4" name="TextBox 3">
          <a:extLst xmlns:a="http://schemas.openxmlformats.org/drawingml/2006/main">
            <a:ext uri="{FF2B5EF4-FFF2-40B4-BE49-F238E27FC236}">
              <a16:creationId xmlns:a16="http://schemas.microsoft.com/office/drawing/2014/main" id="{61731AFD-BE33-4BAC-9033-FD7DB904D975}"/>
            </a:ext>
          </a:extLst>
        </cdr:cNvPr>
        <cdr:cNvSpPr txBox="1"/>
      </cdr:nvSpPr>
      <cdr:spPr>
        <a:xfrm xmlns:a="http://schemas.openxmlformats.org/drawingml/2006/main">
          <a:off x="2628900" y="2590801"/>
          <a:ext cx="91440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0.0211</cdr:x>
      <cdr:y>0</cdr:y>
    </cdr:from>
    <cdr:to>
      <cdr:x>0.07407</cdr:x>
      <cdr:y>0.13487</cdr:y>
    </cdr:to>
    <cdr:pic>
      <cdr:nvPicPr>
        <cdr:cNvPr id="5"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13C8AED-4FAA-4C11-B1D2-C345C7A4A8E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5575" y="0"/>
          <a:ext cx="390525" cy="3905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2523147" createdVersion="5" refreshedVersion="6" minRefreshableVersion="3" recordCount="0" supportSubquery="1" supportAdvancedDrill="1" xr:uid="{70DAC742-A354-44B6-9C50-D9D8B14328A2}">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27-Apr"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2754631" createdVersion="5" refreshedVersion="6" minRefreshableVersion="3" recordCount="0" supportSubquery="1" supportAdvancedDrill="1" xr:uid="{F00F501C-6128-4C82-A53F-EE835D6E944E}">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2986109" createdVersion="5" refreshedVersion="6" minRefreshableVersion="3" recordCount="0" supportSubquery="1" supportAdvancedDrill="1" xr:uid="{03FF6321-DA59-48EA-A96D-1D0EF839E813}">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3217593" createdVersion="5" refreshedVersion="6" minRefreshableVersion="3" recordCount="0" supportSubquery="1" supportAdvancedDrill="1" xr:uid="{3467BA88-9321-4F59-B984-4BDF528814F0}">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3680555" createdVersion="5" refreshedVersion="6" minRefreshableVersion="3" recordCount="0" supportSubquery="1" supportAdvancedDrill="1" xr:uid="{FD37A63C-267C-4C40-9028-986B8A82E9D7}">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4259256" createdVersion="5" refreshedVersion="6" minRefreshableVersion="3" recordCount="0" supportSubquery="1" supportAdvancedDrill="1" xr:uid="{4254CA45-640B-42D9-BD92-BB1A41451771}">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4722225" createdVersion="5" refreshedVersion="6" minRefreshableVersion="3" recordCount="0" supportSubquery="1" supportAdvancedDrill="1" xr:uid="{8AE51AAF-B920-4A46-A4D7-EF41B755ECE4}">
  <cacheSource type="external" connectionId="3"/>
  <cacheFields count="5">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Dummy0" numFmtId="0" hierarchy="39" level="32767">
      <extLst>
        <ext xmlns:x14="http://schemas.microsoft.com/office/spreadsheetml/2009/9/main" uri="{63CAB8AC-B538-458d-9737-405883B0398D}">
          <x14:cacheField ignore="1"/>
        </ext>
      </extLst>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5300926" createdVersion="5" refreshedVersion="6" minRefreshableVersion="3" recordCount="0" supportSubquery="1" supportAdvancedDrill="1" xr:uid="{3FB1A147-8E7D-4F92-8372-63EB9E1730CA}">
  <cacheSource type="external" connectionId="3"/>
  <cacheFields count="4">
    <cacheField name="[Hospital Emergency Room Data].[Age Group].[Age Group]" caption="Age Group" numFmtId="0" hierarchy="16" level="1">
      <sharedItems count="8">
        <s v="1-10"/>
        <s v="11-20"/>
        <s v="21-30"/>
        <s v="31-40"/>
        <s v="41-50"/>
        <s v="51-60"/>
        <s v="61-70"/>
        <s v="71-79"/>
      </sharedItems>
    </cacheField>
    <cacheField name="[Measures].[Count of Age Group]" caption="Count of Age Group"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5879626" createdVersion="5" refreshedVersion="6" minRefreshableVersion="3" recordCount="0" supportSubquery="1" supportAdvancedDrill="1" xr:uid="{B9351A8F-751B-48F2-B389-523D2219D9F5}">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6342595" createdVersion="5" refreshedVersion="6" minRefreshableVersion="3" recordCount="0" supportSubquery="1" supportAdvancedDrill="1" xr:uid="{BDC65754-B0C5-42A2-BE35-DA2D7351A95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6921296" createdVersion="5" refreshedVersion="6" minRefreshableVersion="3" recordCount="0" supportSubquery="1" supportAdvancedDrill="1" xr:uid="{36026E1E-FE57-4C27-B925-5DD37CC3EA72}">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3.553387384258" createdVersion="5" refreshedVersion="6" minRefreshableVersion="3" recordCount="0" supportSubquery="1" supportAdvancedDrill="1" xr:uid="{D6764AA2-0471-430E-B385-64510FCE11A0}">
  <cacheSource type="external" connectionId="3"/>
  <cacheFields count="4">
    <cacheField name="[Calender_Table].[Date (Month)].[Date (Month)]" caption="Date (Month)" numFmtId="0" hierarchy="1" level="1">
      <sharedItems containsNonDate="0" count="1">
        <s v="Dec"/>
      </sharedItems>
    </cacheField>
    <cacheField name="[Calende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Quarter)].[Date (Quarter)]" caption="Date (Quarter)" numFmtId="0" hierarchy="4" level="1">
      <sharedItems containsNonDate="0" count="1">
        <s v="Qtr4"/>
      </sharedItems>
    </cacheField>
    <cacheField name="[Calender_Table].[Date (Year)].[Date (Year)]" caption="Date (Year)" numFmtId="0" hierarchy="3" level="1">
      <sharedItems count="1">
        <s v="2024"/>
      </sharedItems>
    </cacheField>
  </cacheFields>
  <cacheHierarchies count="39">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2.992182060188" createdVersion="3" refreshedVersion="6" minRefreshableVersion="3" recordCount="0" supportSubquery="1" supportAdvancedDrill="1" xr:uid="{D13B7D68-1BA8-459B-9ABE-2532E8F0A050}">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163319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48EADB-2F53-4401-AF8D-78F19554D889}" name="PivotTable9" cacheId="8" applyNumberFormats="0" applyBorderFormats="0" applyFontFormats="0" applyPatternFormats="0" applyAlignmentFormats="0" applyWidthHeightFormats="1" dataCaption="Values" tag="eace7935-732d-432f-a622-f37f905cda7d" updatedVersion="6" minRefreshableVersion="3" subtotalHiddenItems="1" itemPrintTitles="1" createdVersion="5" indent="0" outline="1" outlineData="1" multipleFieldFilters="0" chartFormat="13">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caption="Count of Patient Waittime"/>
    <pivotHierarchy dragToData="1" caption="Count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91884-5652-43E4-9BE4-348A9EB963A7}" name="PivotTable8" cacheId="7" applyNumberFormats="0" applyBorderFormats="0" applyFontFormats="0" applyPatternFormats="0" applyAlignmentFormats="0" applyWidthHeightFormats="1" dataCaption="Values" tag="eace7935-732d-432f-a622-f37f905cda7d" updatedVersion="6" minRefreshableVersion="3" subtotalHiddenItems="1" itemPrintTitles="1" createdVersion="5" indent="0" outline="1" outlineData="1" multipleFieldFilters="0" chartFormat="8">
  <location ref="A56:B65"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3">
    <format dxfId="5">
      <pivotArea outline="0" collapsedLevelsAreSubtotals="1" fieldPosition="0"/>
    </format>
    <format dxfId="4">
      <pivotArea outline="0" collapsedLevelsAreSubtotals="1" fieldPosition="0"/>
    </format>
    <format dxfId="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caption="Count of Patient Waittime"/>
    <pivotHierarchy dragToData="1" caption="Count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F4FEA6-7E70-4C77-B23D-A77A493A7EA4}" name="PivotTable2" cacheId="0" applyNumberFormats="0" applyBorderFormats="0" applyFontFormats="0" applyPatternFormats="0" applyAlignmentFormats="0" applyWidthHeightFormats="1" dataCaption="Values" tag="0a9ce403-fdf5-4e54-8e06-2deca4d9ce98" updatedVersion="6" minRefreshableVersion="3" subtotalHiddenItems="1" itemPrintTitles="1" createdVersion="5" indent="0" outline="1" outlineData="1" multipleFieldFilters="0" chartFormat="17">
  <location ref="G7:H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2044193856">
      <extLst>
        <ext xmlns:x15="http://schemas.microsoft.com/office/spreadsheetml/2010/11/main" uri="{FABC7310-3BB5-11E1-824E-6D434824019B}">
          <x15:dataField isCountDistinct="1"/>
        </ext>
      </extLst>
    </dataField>
  </dataFields>
  <chartFormats count="5">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3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0BA254-6C33-44CF-A559-1FA9A3084124}" name="PivotTable7" cacheId="6" applyNumberFormats="0" applyBorderFormats="0" applyFontFormats="0" applyPatternFormats="0" applyAlignmentFormats="0" applyWidthHeightFormats="1" dataCaption="Values" tag="9706fb17-c32a-4487-b19d-b83e1e90b6cb" updatedVersion="6" minRefreshableVersion="3" subtotalHiddenItems="1" itemPrintTitles="1" createdVersion="5" indent="0" outline="1" outlineData="1" multipleFieldFilters="0" chartFormat="2">
  <location ref="A42:C45"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1" baseItem="0" numFmtId="1">
      <extLst>
        <ext xmlns:x14="http://schemas.microsoft.com/office/spreadsheetml/2009/9/main" uri="{E15A36E0-9728-4e99-A89B-3F7291B0FE68}">
          <x14:dataField sourceField="0" uniqueName="[__Xl2].[Measures].[Count of Patient Admission Flag]"/>
        </ext>
      </extLst>
    </dataField>
    <dataField name="Count of Patient Admission Flag2" fld="4" subtotal="count" showDataAs="percentOfTotal" baseField="0" baseItem="0" numFmtId="10">
      <extLst>
        <ext xmlns:x14="http://schemas.microsoft.com/office/spreadsheetml/2009/9/main" uri="{E15A36E0-9728-4e99-A89B-3F7291B0FE68}">
          <x14:dataField sourceField="0"/>
        </ext>
      </extLst>
    </dataField>
  </dataFields>
  <formats count="4">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Patient Admission Flag"/>
    <pivotHierarchy dragToData="1"/>
    <pivotHierarchy dragToData="1"/>
    <pivotHierarchy dragToData="1"/>
    <pivotHierarchy dragToData="1"/>
    <pivotHierarchy dragToData="1"/>
    <pivotHierarchy dragToData="1" caption="Distinct Count of Patient Admission Flag"/>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EE4D77-FE31-49EA-986F-BD8CBB3E5323}" name="PivotTable11" cacheId="10" applyNumberFormats="0" applyBorderFormats="0" applyFontFormats="0" applyPatternFormats="0" applyAlignmentFormats="0" applyWidthHeightFormats="1" dataCaption="Values" tag="eace7935-732d-432f-a622-f37f905cda7d" updatedVersion="6" minRefreshableVersion="3" subtotalHiddenItems="1" itemPrintTitles="1" createdVersion="5" indent="0" outline="1" outlineData="1" multipleFieldFilters="0" chartFormat="21">
  <location ref="A77:B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3">
    <format dxfId="12">
      <pivotArea outline="0" collapsedLevelsAreSubtotals="1" fieldPosition="0"/>
    </format>
    <format dxfId="11">
      <pivotArea outline="0" collapsedLevelsAreSubtotals="1" fieldPosition="0"/>
    </format>
    <format dxfId="10">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caption="Count of Patient Waittime"/>
    <pivotHierarchy dragToData="1" caption="Count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B51B05-A75C-420D-9834-BD742E73076A}" name="PivotTable1" cacheId="1" applyNumberFormats="0" applyBorderFormats="0" applyFontFormats="0" applyPatternFormats="0" applyAlignmentFormats="0" applyWidthHeightFormats="1" dataCaption="Values" tag="33cfbd01-9454-4bca-9bf8-26208cacf17b" updatedVersion="6"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FDEFBB-D7F9-4F0A-96A8-57CA0B7D0BAA}" name="PivotTable5" cacheId="4" applyNumberFormats="0" applyBorderFormats="0" applyFontFormats="0" applyPatternFormats="0" applyAlignmentFormats="0" applyWidthHeightFormats="1" dataCaption="Values" tag="c6790050-75b8-48fd-bcd8-b8075cbe1bf9" updatedVersion="6" minRefreshableVersion="3" subtotalHiddenItems="1" itemPrintTitles="1" createdVersion="5" indent="0" outline="1" outlineData="1" multipleFieldFilters="0" chartFormat="19">
  <location ref="L7:M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1" subtotal="average" baseField="0" baseItem="0" numFmtId="2"/>
  </dataFields>
  <formats count="1">
    <format dxfId="13">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891FC7-25F2-4A6F-A88E-23A441CAB5D2}" name="PivotTable10" cacheId="9" applyNumberFormats="0" applyBorderFormats="0" applyFontFormats="0" applyPatternFormats="0" applyAlignmentFormats="0" applyWidthHeightFormats="1" dataCaption="Values" tag="eace7935-732d-432f-a622-f37f905cda7d" updatedVersion="6" minRefreshableVersion="3" subtotalHiddenItems="1" itemPrintTitles="1" createdVersion="5" indent="0" outline="1" outlineData="1" multipleFieldFilters="0" chartFormat="17">
  <location ref="D69:E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16">
      <pivotArea outline="0" collapsedLevelsAreSubtotals="1" fieldPosition="0"/>
    </format>
    <format dxfId="15">
      <pivotArea outline="0" collapsedLevelsAreSubtotals="1" fieldPosition="0"/>
    </format>
    <format dxfId="14">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caption="Count of Patient Waittime"/>
    <pivotHierarchy dragToData="1" caption="Count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6E2651-597C-464D-BE6F-885060B104B6}" name="PivotTable6" cacheId="5" applyNumberFormats="0" applyBorderFormats="0" applyFontFormats="0" applyPatternFormats="0" applyAlignmentFormats="0" applyWidthHeightFormats="1" dataCaption="Values" tag="62578902-d750-4c07-955c-1fbde3d32c9b" updatedVersion="6" minRefreshableVersion="3" subtotalHiddenItems="1" itemPrintTitles="1" createdVersion="5" indent="0" outline="1" outlineData="1" multipleFieldFilters="0" chartFormat="24">
  <location ref="O7:P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1" subtotal="average" baseField="0" baseItem="0"/>
  </dataFields>
  <formats count="1">
    <format dxfId="17">
      <pivotArea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5A8EBA-2950-4498-858B-A3391FE9BACD}" name="PivotTable4" cacheId="3" applyNumberFormats="0" applyBorderFormats="0" applyFontFormats="0" applyPatternFormats="0" applyAlignmentFormats="0" applyWidthHeightFormats="1" dataCaption="Values" tag="5c6b98d6-8533-4581-9036-5d2595b077cf" updatedVersion="6"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
      <pivotArea outline="0" collapsedLevelsAreSubtotals="1" fieldPosition="0"/>
    </format>
  </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3F4BDD-32C3-4E8A-9102-95D4D6EA9108}" name="PivotTable12" cacheId="11" applyNumberFormats="0" applyBorderFormats="0" applyFontFormats="0" applyPatternFormats="0" applyAlignmentFormats="0" applyWidthHeightFormats="1" dataCaption="Values" tag="eace7935-732d-432f-a622-f37f905cda7d" updatedVersion="6" minRefreshableVersion="3" subtotalHiddenItems="1" itemPrintTitles="1" createdVersion="5" indent="0" outline="1" outlineData="1" multipleFieldFilters="0" chartFormat="17">
  <location ref="D77:D7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3">
    <format dxfId="21">
      <pivotArea outline="0" collapsedLevelsAreSubtotals="1" fieldPosition="0"/>
    </format>
    <format dxfId="20">
      <pivotArea outline="0" collapsedLevelsAreSubtotals="1" fieldPosition="0"/>
    </format>
    <format dxfId="19">
      <pivotArea outline="0" collapsedLevelsAreSubtotals="1" fieldPosition="0"/>
    </format>
  </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caption="Count of Patient Waittime"/>
    <pivotHierarchy dragToData="1" caption="Count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8B9008-50A6-45E5-B9AD-09366DCCA934}" name="PivotTable3" cacheId="2" applyNumberFormats="0" applyBorderFormats="0" applyFontFormats="0" applyPatternFormats="0" applyAlignmentFormats="0" applyWidthHeightFormats="1" dataCaption="Values" tag="a966103e-8f25-41dc-8764-14b59daf6552" updatedVersion="6"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23">
      <pivotArea outline="0" collapsedLevelsAreSubtotals="1" fieldPosition="0"/>
    </format>
    <format dxfId="22">
      <pivotArea outline="0" collapsedLevelsAreSubtotals="1" fieldPosition="0"/>
    </format>
  </formats>
  <pivotHierarchies count="39">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12BCF87-9D0A-4619-8F4C-4275E1CF307B}" sourceName="[Calende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16331914">
      <levels count="2">
        <level uniqueName="[Calender_Table].[Date (Month)].[(All)]" sourceCaption="(All)" count="0"/>
        <level uniqueName="[Calender_Table].[Date (Month)].[Date (Month)]" sourceCaption="Date (Month)" count="12" crossFilter="none">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D46C966-8D8C-479E-9329-83E9CC5EB6BC}"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1633191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72773DE-251C-4153-B83F-C2DAFA286ADA}" cache="Slicer_Date__Month" caption="Date (Month)" showCaption="0" level="1" style="My Style" rowHeight="228600"/>
  <slicer name="Date (Year) 1" xr10:uid="{672CF632-81E0-40AA-8415-D01D6013E6D8}" cache="Slicer_Date__Year" caption="Date (Year)" columnCount="2" showCaption="0" level="1" style="My Style"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12DE4-6145-4E22-A769-72272DB1FEF6}">
  <dimension ref="A6:P86"/>
  <sheetViews>
    <sheetView tabSelected="1" topLeftCell="A61" zoomScaleNormal="100" workbookViewId="0">
      <selection activeCell="A11" sqref="A11:A12"/>
    </sheetView>
  </sheetViews>
  <sheetFormatPr defaultRowHeight="15" x14ac:dyDescent="0.25"/>
  <cols>
    <col min="1" max="1" width="27.28515625" customWidth="1"/>
    <col min="2" max="2" width="26.85546875" customWidth="1"/>
    <col min="3" max="3" width="16.28515625" customWidth="1"/>
    <col min="4" max="4" width="35.5703125" customWidth="1"/>
    <col min="5" max="5" width="29.85546875" bestFit="1" customWidth="1"/>
    <col min="7" max="7" width="25.140625" bestFit="1" customWidth="1"/>
    <col min="12" max="12" width="13.140625" bestFit="1" customWidth="1"/>
    <col min="13" max="13" width="25.140625" bestFit="1" customWidth="1"/>
    <col min="15" max="15" width="16.85546875" bestFit="1" customWidth="1"/>
    <col min="16" max="16" width="26.85546875" bestFit="1" customWidth="1"/>
  </cols>
  <sheetData>
    <row r="6" spans="1:16" x14ac:dyDescent="0.25">
      <c r="A6" t="s">
        <v>36</v>
      </c>
      <c r="G6" t="s">
        <v>5</v>
      </c>
      <c r="L6" t="s">
        <v>6</v>
      </c>
      <c r="O6" t="s">
        <v>7</v>
      </c>
    </row>
    <row r="7" spans="1:16" x14ac:dyDescent="0.25">
      <c r="A7" t="s">
        <v>0</v>
      </c>
      <c r="G7" s="4" t="s">
        <v>3</v>
      </c>
      <c r="H7" t="s">
        <v>0</v>
      </c>
      <c r="L7" s="4" t="s">
        <v>3</v>
      </c>
      <c r="M7" t="s">
        <v>1</v>
      </c>
      <c r="O7" s="4" t="s">
        <v>3</v>
      </c>
      <c r="P7" t="s">
        <v>2</v>
      </c>
    </row>
    <row r="8" spans="1:16" x14ac:dyDescent="0.25">
      <c r="A8" s="1">
        <v>471</v>
      </c>
      <c r="G8" s="5" t="s">
        <v>45</v>
      </c>
      <c r="H8" s="1">
        <v>20</v>
      </c>
      <c r="L8" s="5" t="s">
        <v>45</v>
      </c>
      <c r="M8" s="2">
        <v>37.4</v>
      </c>
      <c r="O8" s="5" t="s">
        <v>45</v>
      </c>
      <c r="P8" s="2">
        <v>4.8571428571428568</v>
      </c>
    </row>
    <row r="9" spans="1:16" x14ac:dyDescent="0.25">
      <c r="G9" s="5" t="s">
        <v>46</v>
      </c>
      <c r="H9" s="1">
        <v>11</v>
      </c>
      <c r="L9" s="5" t="s">
        <v>46</v>
      </c>
      <c r="M9" s="2">
        <v>38.545454545454547</v>
      </c>
      <c r="O9" s="5" t="s">
        <v>46</v>
      </c>
      <c r="P9" s="2">
        <v>8</v>
      </c>
    </row>
    <row r="10" spans="1:16" x14ac:dyDescent="0.25">
      <c r="G10" s="5" t="s">
        <v>47</v>
      </c>
      <c r="H10" s="1">
        <v>18</v>
      </c>
      <c r="L10" s="5" t="s">
        <v>47</v>
      </c>
      <c r="M10" s="2">
        <v>31.333333333333332</v>
      </c>
      <c r="O10" s="5" t="s">
        <v>47</v>
      </c>
      <c r="P10" s="2">
        <v>6</v>
      </c>
    </row>
    <row r="11" spans="1:16" x14ac:dyDescent="0.25">
      <c r="A11" t="s">
        <v>1</v>
      </c>
      <c r="G11" s="5" t="s">
        <v>48</v>
      </c>
      <c r="H11" s="1">
        <v>16</v>
      </c>
      <c r="L11" s="5" t="s">
        <v>48</v>
      </c>
      <c r="M11" s="2">
        <v>36.5</v>
      </c>
      <c r="O11" s="5" t="s">
        <v>48</v>
      </c>
      <c r="P11" s="2">
        <v>6.8</v>
      </c>
    </row>
    <row r="12" spans="1:16" x14ac:dyDescent="0.25">
      <c r="A12" s="6">
        <v>34.050955414012741</v>
      </c>
      <c r="G12" s="5" t="s">
        <v>49</v>
      </c>
      <c r="H12" s="1">
        <v>11</v>
      </c>
      <c r="L12" s="5" t="s">
        <v>49</v>
      </c>
      <c r="M12" s="2">
        <v>25.727272727272727</v>
      </c>
      <c r="O12" s="5" t="s">
        <v>49</v>
      </c>
      <c r="P12" s="2">
        <v>3.5</v>
      </c>
    </row>
    <row r="13" spans="1:16" x14ac:dyDescent="0.25">
      <c r="G13" s="5" t="s">
        <v>50</v>
      </c>
      <c r="H13" s="1">
        <v>11</v>
      </c>
      <c r="L13" s="5" t="s">
        <v>50</v>
      </c>
      <c r="M13" s="2">
        <v>29.272727272727273</v>
      </c>
      <c r="O13" s="5" t="s">
        <v>50</v>
      </c>
      <c r="P13" s="2">
        <v>0.5</v>
      </c>
    </row>
    <row r="14" spans="1:16" x14ac:dyDescent="0.25">
      <c r="G14" s="5" t="s">
        <v>51</v>
      </c>
      <c r="H14" s="1">
        <v>14</v>
      </c>
      <c r="L14" s="5" t="s">
        <v>51</v>
      </c>
      <c r="M14" s="2">
        <v>33.5</v>
      </c>
      <c r="O14" s="5" t="s">
        <v>51</v>
      </c>
      <c r="P14" s="2">
        <v>4</v>
      </c>
    </row>
    <row r="15" spans="1:16" x14ac:dyDescent="0.25">
      <c r="G15" s="5" t="s">
        <v>52</v>
      </c>
      <c r="H15" s="1">
        <v>16</v>
      </c>
      <c r="L15" s="5" t="s">
        <v>52</v>
      </c>
      <c r="M15" s="2">
        <v>27.1875</v>
      </c>
      <c r="O15" s="5" t="s">
        <v>52</v>
      </c>
      <c r="P15" s="2">
        <v>4.75</v>
      </c>
    </row>
    <row r="16" spans="1:16" x14ac:dyDescent="0.25">
      <c r="A16" t="s">
        <v>2</v>
      </c>
      <c r="G16" s="5" t="s">
        <v>53</v>
      </c>
      <c r="H16" s="1">
        <v>18</v>
      </c>
      <c r="L16" s="5" t="s">
        <v>53</v>
      </c>
      <c r="M16" s="2">
        <v>30.333333333333332</v>
      </c>
      <c r="O16" s="5" t="s">
        <v>53</v>
      </c>
      <c r="P16" s="2">
        <v>5</v>
      </c>
    </row>
    <row r="17" spans="1:16" x14ac:dyDescent="0.25">
      <c r="A17" s="2">
        <v>5.3120000000000003</v>
      </c>
      <c r="G17" s="5" t="s">
        <v>54</v>
      </c>
      <c r="H17" s="1">
        <v>10</v>
      </c>
      <c r="L17" s="5" t="s">
        <v>54</v>
      </c>
      <c r="M17" s="2">
        <v>32.5</v>
      </c>
      <c r="O17" s="5" t="s">
        <v>54</v>
      </c>
      <c r="P17" s="2">
        <v>10</v>
      </c>
    </row>
    <row r="18" spans="1:16" x14ac:dyDescent="0.25">
      <c r="G18" s="5" t="s">
        <v>55</v>
      </c>
      <c r="H18" s="1">
        <v>23</v>
      </c>
      <c r="L18" s="5" t="s">
        <v>55</v>
      </c>
      <c r="M18" s="2">
        <v>33.565217391304351</v>
      </c>
      <c r="O18" s="5" t="s">
        <v>55</v>
      </c>
      <c r="P18" s="2">
        <v>5.5</v>
      </c>
    </row>
    <row r="19" spans="1:16" x14ac:dyDescent="0.25">
      <c r="G19" s="5" t="s">
        <v>56</v>
      </c>
      <c r="H19" s="1">
        <v>19</v>
      </c>
      <c r="L19" s="5" t="s">
        <v>56</v>
      </c>
      <c r="M19" s="2">
        <v>37.473684210526315</v>
      </c>
      <c r="O19" s="5" t="s">
        <v>56</v>
      </c>
      <c r="P19" s="2">
        <v>4</v>
      </c>
    </row>
    <row r="20" spans="1:16" x14ac:dyDescent="0.25">
      <c r="G20" s="5" t="s">
        <v>57</v>
      </c>
      <c r="H20" s="1">
        <v>14</v>
      </c>
      <c r="L20" s="5" t="s">
        <v>57</v>
      </c>
      <c r="M20" s="2">
        <v>33.857142857142854</v>
      </c>
      <c r="O20" s="5" t="s">
        <v>57</v>
      </c>
      <c r="P20" s="2">
        <v>2.6666666666666665</v>
      </c>
    </row>
    <row r="21" spans="1:16" x14ac:dyDescent="0.25">
      <c r="G21" s="5" t="s">
        <v>58</v>
      </c>
      <c r="H21" s="1">
        <v>20</v>
      </c>
      <c r="L21" s="5" t="s">
        <v>58</v>
      </c>
      <c r="M21" s="2">
        <v>32.25</v>
      </c>
      <c r="O21" s="5" t="s">
        <v>58</v>
      </c>
      <c r="P21" s="2">
        <v>5.1111111111111107</v>
      </c>
    </row>
    <row r="22" spans="1:16" x14ac:dyDescent="0.25">
      <c r="G22" s="5" t="s">
        <v>59</v>
      </c>
      <c r="H22" s="1">
        <v>15</v>
      </c>
      <c r="L22" s="5" t="s">
        <v>59</v>
      </c>
      <c r="M22" s="2">
        <v>43.666666666666664</v>
      </c>
      <c r="O22" s="5" t="s">
        <v>59</v>
      </c>
      <c r="P22" s="2">
        <v>6.25</v>
      </c>
    </row>
    <row r="23" spans="1:16" x14ac:dyDescent="0.25">
      <c r="G23" s="5" t="s">
        <v>60</v>
      </c>
      <c r="H23" s="1">
        <v>12</v>
      </c>
      <c r="L23" s="5" t="s">
        <v>60</v>
      </c>
      <c r="M23" s="2">
        <v>30.166666666666668</v>
      </c>
      <c r="O23" s="5" t="s">
        <v>60</v>
      </c>
      <c r="P23" s="2">
        <v>6.333333333333333</v>
      </c>
    </row>
    <row r="24" spans="1:16" x14ac:dyDescent="0.25">
      <c r="G24" s="5" t="s">
        <v>61</v>
      </c>
      <c r="H24" s="1">
        <v>17</v>
      </c>
      <c r="L24" s="5" t="s">
        <v>61</v>
      </c>
      <c r="M24" s="2">
        <v>33.823529411764703</v>
      </c>
      <c r="O24" s="5" t="s">
        <v>61</v>
      </c>
      <c r="P24" s="2">
        <v>7.666666666666667</v>
      </c>
    </row>
    <row r="25" spans="1:16" x14ac:dyDescent="0.25">
      <c r="G25" s="5" t="s">
        <v>62</v>
      </c>
      <c r="H25" s="1">
        <v>18</v>
      </c>
      <c r="L25" s="5" t="s">
        <v>62</v>
      </c>
      <c r="M25" s="2">
        <v>32.5</v>
      </c>
      <c r="O25" s="5" t="s">
        <v>62</v>
      </c>
      <c r="P25" s="2">
        <v>5.8</v>
      </c>
    </row>
    <row r="26" spans="1:16" x14ac:dyDescent="0.25">
      <c r="G26" s="5" t="s">
        <v>63</v>
      </c>
      <c r="H26" s="1">
        <v>16</v>
      </c>
      <c r="L26" s="5" t="s">
        <v>63</v>
      </c>
      <c r="M26" s="2">
        <v>39.25</v>
      </c>
      <c r="O26" s="5" t="s">
        <v>63</v>
      </c>
      <c r="P26" s="2">
        <v>6.666666666666667</v>
      </c>
    </row>
    <row r="27" spans="1:16" x14ac:dyDescent="0.25">
      <c r="G27" s="5" t="s">
        <v>64</v>
      </c>
      <c r="H27" s="1">
        <v>20</v>
      </c>
      <c r="L27" s="5" t="s">
        <v>64</v>
      </c>
      <c r="M27" s="2">
        <v>33.549999999999997</v>
      </c>
      <c r="O27" s="5" t="s">
        <v>64</v>
      </c>
      <c r="P27" s="2">
        <v>5.4444444444444446</v>
      </c>
    </row>
    <row r="28" spans="1:16" x14ac:dyDescent="0.25">
      <c r="G28" s="5" t="s">
        <v>65</v>
      </c>
      <c r="H28" s="1">
        <v>17</v>
      </c>
      <c r="L28" s="5" t="s">
        <v>65</v>
      </c>
      <c r="M28" s="2">
        <v>31.117647058823529</v>
      </c>
      <c r="O28" s="5" t="s">
        <v>65</v>
      </c>
      <c r="P28" s="2">
        <v>4.4000000000000004</v>
      </c>
    </row>
    <row r="29" spans="1:16" x14ac:dyDescent="0.25">
      <c r="G29" s="5" t="s">
        <v>66</v>
      </c>
      <c r="H29" s="1">
        <v>19</v>
      </c>
      <c r="L29" s="5" t="s">
        <v>66</v>
      </c>
      <c r="M29" s="2">
        <v>36.94736842105263</v>
      </c>
      <c r="O29" s="5" t="s">
        <v>66</v>
      </c>
      <c r="P29" s="2">
        <v>4.8</v>
      </c>
    </row>
    <row r="30" spans="1:16" x14ac:dyDescent="0.25">
      <c r="G30" s="5" t="s">
        <v>67</v>
      </c>
      <c r="H30" s="1">
        <v>17</v>
      </c>
      <c r="L30" s="5" t="s">
        <v>67</v>
      </c>
      <c r="M30" s="2">
        <v>43</v>
      </c>
      <c r="O30" s="5" t="s">
        <v>67</v>
      </c>
      <c r="P30" s="2">
        <v>4</v>
      </c>
    </row>
    <row r="31" spans="1:16" x14ac:dyDescent="0.25">
      <c r="G31" s="5" t="s">
        <v>68</v>
      </c>
      <c r="H31" s="1">
        <v>18</v>
      </c>
      <c r="L31" s="5" t="s">
        <v>68</v>
      </c>
      <c r="M31" s="2">
        <v>33.055555555555557</v>
      </c>
      <c r="O31" s="5" t="s">
        <v>68</v>
      </c>
      <c r="P31" s="2">
        <v>8.25</v>
      </c>
    </row>
    <row r="32" spans="1:16" x14ac:dyDescent="0.25">
      <c r="G32" s="5" t="s">
        <v>69</v>
      </c>
      <c r="H32" s="1">
        <v>18</v>
      </c>
      <c r="L32" s="5" t="s">
        <v>69</v>
      </c>
      <c r="M32" s="2">
        <v>32.888888888888886</v>
      </c>
      <c r="O32" s="5" t="s">
        <v>69</v>
      </c>
      <c r="P32" s="2">
        <v>4.5</v>
      </c>
    </row>
    <row r="33" spans="1:16" x14ac:dyDescent="0.25">
      <c r="G33" s="5" t="s">
        <v>70</v>
      </c>
      <c r="H33" s="1">
        <v>15</v>
      </c>
      <c r="L33" s="5" t="s">
        <v>70</v>
      </c>
      <c r="M33" s="2">
        <v>26.6</v>
      </c>
      <c r="O33" s="5" t="s">
        <v>70</v>
      </c>
      <c r="P33" s="2">
        <v>3.5</v>
      </c>
    </row>
    <row r="34" spans="1:16" x14ac:dyDescent="0.25">
      <c r="G34" s="5" t="s">
        <v>71</v>
      </c>
      <c r="H34" s="1">
        <v>10</v>
      </c>
      <c r="L34" s="5" t="s">
        <v>71</v>
      </c>
      <c r="M34" s="2">
        <v>28.2</v>
      </c>
      <c r="O34" s="5" t="s">
        <v>71</v>
      </c>
      <c r="P34" s="2">
        <v>7</v>
      </c>
    </row>
    <row r="35" spans="1:16" x14ac:dyDescent="0.25">
      <c r="G35" s="5" t="s">
        <v>72</v>
      </c>
      <c r="H35" s="1">
        <v>14</v>
      </c>
      <c r="L35" s="5" t="s">
        <v>72</v>
      </c>
      <c r="M35" s="2">
        <v>37.642857142857146</v>
      </c>
      <c r="O35" s="5" t="s">
        <v>72</v>
      </c>
      <c r="P35" s="2">
        <v>4.5</v>
      </c>
    </row>
    <row r="36" spans="1:16" x14ac:dyDescent="0.25">
      <c r="G36" s="5" t="s">
        <v>73</v>
      </c>
      <c r="H36" s="1">
        <v>9</v>
      </c>
      <c r="L36" s="5" t="s">
        <v>73</v>
      </c>
      <c r="M36" s="2">
        <v>40.333333333333336</v>
      </c>
      <c r="O36" s="5" t="s">
        <v>73</v>
      </c>
      <c r="P36" s="2">
        <v>4.666666666666667</v>
      </c>
    </row>
    <row r="37" spans="1:16" x14ac:dyDescent="0.25">
      <c r="G37" s="5" t="s">
        <v>74</v>
      </c>
      <c r="H37" s="1">
        <v>15</v>
      </c>
      <c r="L37" s="5" t="s">
        <v>74</v>
      </c>
      <c r="M37" s="2">
        <v>35.93333333333333</v>
      </c>
      <c r="O37" s="5" t="s">
        <v>74</v>
      </c>
      <c r="P37" s="2">
        <v>5.8</v>
      </c>
    </row>
    <row r="38" spans="1:16" x14ac:dyDescent="0.25">
      <c r="G38" s="5" t="s">
        <v>4</v>
      </c>
      <c r="H38" s="1">
        <v>471</v>
      </c>
      <c r="L38" s="5" t="s">
        <v>4</v>
      </c>
      <c r="M38" s="2">
        <v>34.050955414012741</v>
      </c>
      <c r="O38" s="5" t="s">
        <v>4</v>
      </c>
      <c r="P38" s="2">
        <v>5.3120000000000003</v>
      </c>
    </row>
    <row r="42" spans="1:16" x14ac:dyDescent="0.25">
      <c r="A42" s="4" t="s">
        <v>3</v>
      </c>
      <c r="B42" t="s">
        <v>8</v>
      </c>
      <c r="C42" t="s">
        <v>11</v>
      </c>
      <c r="E42" s="10"/>
    </row>
    <row r="43" spans="1:16" x14ac:dyDescent="0.25">
      <c r="A43" s="5" t="s">
        <v>9</v>
      </c>
      <c r="B43" s="13">
        <v>247</v>
      </c>
      <c r="C43" s="12">
        <v>0.52441613588110403</v>
      </c>
      <c r="E43" s="6"/>
    </row>
    <row r="44" spans="1:16" x14ac:dyDescent="0.25">
      <c r="A44" s="5" t="s">
        <v>10</v>
      </c>
      <c r="B44" s="13">
        <v>224</v>
      </c>
      <c r="C44" s="12">
        <v>0.47558386411889597</v>
      </c>
      <c r="E44" s="6"/>
    </row>
    <row r="45" spans="1:16" x14ac:dyDescent="0.25">
      <c r="A45" s="5" t="s">
        <v>4</v>
      </c>
      <c r="B45" s="13">
        <v>471</v>
      </c>
      <c r="C45" s="12">
        <v>1</v>
      </c>
      <c r="E45" s="6"/>
    </row>
    <row r="50" spans="1:4" ht="18.75" x14ac:dyDescent="0.25">
      <c r="A50" s="19" t="s">
        <v>12</v>
      </c>
      <c r="B50" s="19" t="s">
        <v>13</v>
      </c>
      <c r="C50" s="19" t="s">
        <v>14</v>
      </c>
      <c r="D50" s="14"/>
    </row>
    <row r="51" spans="1:4" ht="18.75" x14ac:dyDescent="0.25">
      <c r="A51" s="18" t="s">
        <v>10</v>
      </c>
      <c r="B51" s="16">
        <f>B44</f>
        <v>224</v>
      </c>
      <c r="C51" s="17">
        <f>C44</f>
        <v>0.47558386411889597</v>
      </c>
      <c r="D51" s="15"/>
    </row>
    <row r="52" spans="1:4" ht="18.75" x14ac:dyDescent="0.25">
      <c r="A52" s="18" t="s">
        <v>9</v>
      </c>
      <c r="B52" s="16">
        <f>B43</f>
        <v>247</v>
      </c>
      <c r="C52" s="17">
        <f>C43</f>
        <v>0.52441613588110403</v>
      </c>
      <c r="D52" s="15"/>
    </row>
    <row r="55" spans="1:4" x14ac:dyDescent="0.25">
      <c r="A55" t="s">
        <v>37</v>
      </c>
    </row>
    <row r="56" spans="1:4" x14ac:dyDescent="0.25">
      <c r="A56" s="4" t="s">
        <v>3</v>
      </c>
      <c r="B56" t="s">
        <v>15</v>
      </c>
    </row>
    <row r="57" spans="1:4" x14ac:dyDescent="0.25">
      <c r="A57" s="5" t="s">
        <v>26</v>
      </c>
      <c r="B57" s="13">
        <v>77</v>
      </c>
    </row>
    <row r="58" spans="1:4" x14ac:dyDescent="0.25">
      <c r="A58" s="5" t="s">
        <v>27</v>
      </c>
      <c r="B58" s="13">
        <v>50</v>
      </c>
    </row>
    <row r="59" spans="1:4" x14ac:dyDescent="0.25">
      <c r="A59" s="5" t="s">
        <v>28</v>
      </c>
      <c r="B59" s="13">
        <v>67</v>
      </c>
    </row>
    <row r="60" spans="1:4" x14ac:dyDescent="0.25">
      <c r="A60" s="5" t="s">
        <v>29</v>
      </c>
      <c r="B60" s="13">
        <v>53</v>
      </c>
    </row>
    <row r="61" spans="1:4" x14ac:dyDescent="0.25">
      <c r="A61" s="5" t="s">
        <v>30</v>
      </c>
      <c r="B61" s="13">
        <v>59</v>
      </c>
    </row>
    <row r="62" spans="1:4" x14ac:dyDescent="0.25">
      <c r="A62" s="5" t="s">
        <v>31</v>
      </c>
      <c r="B62" s="13">
        <v>59</v>
      </c>
    </row>
    <row r="63" spans="1:4" x14ac:dyDescent="0.25">
      <c r="A63" s="5" t="s">
        <v>32</v>
      </c>
      <c r="B63" s="13">
        <v>48</v>
      </c>
    </row>
    <row r="64" spans="1:4" x14ac:dyDescent="0.25">
      <c r="A64" s="5" t="s">
        <v>33</v>
      </c>
      <c r="B64" s="13">
        <v>58</v>
      </c>
    </row>
    <row r="65" spans="1:5" x14ac:dyDescent="0.25">
      <c r="A65" s="5" t="s">
        <v>4</v>
      </c>
      <c r="B65" s="13">
        <v>471</v>
      </c>
    </row>
    <row r="68" spans="1:5" x14ac:dyDescent="0.25">
      <c r="A68" s="5" t="s">
        <v>39</v>
      </c>
      <c r="D68" s="5" t="s">
        <v>41</v>
      </c>
    </row>
    <row r="69" spans="1:5" x14ac:dyDescent="0.25">
      <c r="A69" s="4" t="s">
        <v>3</v>
      </c>
      <c r="B69" t="s">
        <v>38</v>
      </c>
      <c r="D69" s="4" t="s">
        <v>3</v>
      </c>
      <c r="E69" t="s">
        <v>40</v>
      </c>
    </row>
    <row r="70" spans="1:5" x14ac:dyDescent="0.25">
      <c r="A70" s="5" t="s">
        <v>18</v>
      </c>
      <c r="B70" s="13">
        <v>262</v>
      </c>
      <c r="D70" s="5" t="s">
        <v>16</v>
      </c>
      <c r="E70" s="13">
        <v>227</v>
      </c>
    </row>
    <row r="71" spans="1:5" x14ac:dyDescent="0.25">
      <c r="A71" s="5" t="s">
        <v>20</v>
      </c>
      <c r="B71" s="13">
        <v>209</v>
      </c>
      <c r="D71" s="5" t="s">
        <v>19</v>
      </c>
      <c r="E71" s="13">
        <v>244</v>
      </c>
    </row>
    <row r="72" spans="1:5" x14ac:dyDescent="0.25">
      <c r="A72" s="5" t="s">
        <v>4</v>
      </c>
      <c r="B72" s="13">
        <v>471</v>
      </c>
      <c r="D72" s="5" t="s">
        <v>4</v>
      </c>
      <c r="E72" s="13">
        <v>471</v>
      </c>
    </row>
    <row r="76" spans="1:5" x14ac:dyDescent="0.25">
      <c r="A76" s="5" t="s">
        <v>43</v>
      </c>
      <c r="D76" s="5" t="s">
        <v>41</v>
      </c>
    </row>
    <row r="77" spans="1:5" x14ac:dyDescent="0.25">
      <c r="A77" s="4" t="s">
        <v>3</v>
      </c>
      <c r="B77" t="s">
        <v>42</v>
      </c>
      <c r="C77" s="4"/>
      <c r="D77" s="4" t="s">
        <v>3</v>
      </c>
    </row>
    <row r="78" spans="1:5" x14ac:dyDescent="0.25">
      <c r="A78" s="5" t="s">
        <v>25</v>
      </c>
      <c r="B78" s="13">
        <v>1</v>
      </c>
      <c r="D78" s="5" t="s">
        <v>44</v>
      </c>
    </row>
    <row r="79" spans="1:5" x14ac:dyDescent="0.25">
      <c r="A79" s="5" t="s">
        <v>24</v>
      </c>
      <c r="B79" s="13">
        <v>9</v>
      </c>
      <c r="D79" s="5" t="s">
        <v>4</v>
      </c>
    </row>
    <row r="80" spans="1:5" x14ac:dyDescent="0.25">
      <c r="A80" s="5" t="s">
        <v>23</v>
      </c>
      <c r="B80" s="13">
        <v>13</v>
      </c>
    </row>
    <row r="81" spans="1:2" x14ac:dyDescent="0.25">
      <c r="A81" s="5" t="s">
        <v>35</v>
      </c>
      <c r="B81" s="13">
        <v>15</v>
      </c>
    </row>
    <row r="82" spans="1:2" x14ac:dyDescent="0.25">
      <c r="A82" s="5" t="s">
        <v>34</v>
      </c>
      <c r="B82" s="13">
        <v>17</v>
      </c>
    </row>
    <row r="83" spans="1:2" x14ac:dyDescent="0.25">
      <c r="A83" s="5" t="s">
        <v>22</v>
      </c>
      <c r="B83" s="13">
        <v>54</v>
      </c>
    </row>
    <row r="84" spans="1:2" x14ac:dyDescent="0.25">
      <c r="A84" s="5" t="s">
        <v>21</v>
      </c>
      <c r="B84" s="13">
        <v>96</v>
      </c>
    </row>
    <row r="85" spans="1:2" x14ac:dyDescent="0.25">
      <c r="A85" s="5" t="s">
        <v>17</v>
      </c>
      <c r="B85" s="13">
        <v>266</v>
      </c>
    </row>
    <row r="86" spans="1:2" x14ac:dyDescent="0.25">
      <c r="A86" s="5" t="s">
        <v>4</v>
      </c>
      <c r="B86" s="13">
        <v>471</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F6068-5A6E-4262-A3A9-CDBF66192D52}">
  <dimension ref="A1"/>
  <sheetViews>
    <sheetView showGridLines="0" zoomScale="110" zoomScaleNormal="110" workbookViewId="0">
      <selection activeCell="S10" sqref="S10"/>
    </sheetView>
  </sheetViews>
  <sheetFormatPr defaultRowHeight="15" x14ac:dyDescent="0.25"/>
  <cols>
    <col min="1" max="4" width="9.140625" style="3" customWidth="1"/>
    <col min="5" max="6" width="9.140625" style="3"/>
    <col min="7" max="7" width="9.140625" style="3" customWidth="1"/>
    <col min="8" max="16384" width="9.140625" style="3"/>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B8D7-C755-4908-B71C-CF7F7CCF920D}">
  <dimension ref="A1:K15"/>
  <sheetViews>
    <sheetView workbookViewId="0"/>
  </sheetViews>
  <sheetFormatPr defaultRowHeight="15" x14ac:dyDescent="0.25"/>
  <cols>
    <col min="1" max="16384" width="9.140625" style="7"/>
  </cols>
  <sheetData>
    <row r="1" spans="1:11" x14ac:dyDescent="0.25">
      <c r="A1" s="8"/>
      <c r="B1" s="8"/>
      <c r="C1" s="8"/>
      <c r="D1" s="8"/>
      <c r="E1" s="8"/>
      <c r="F1" s="8"/>
      <c r="G1" s="8"/>
      <c r="H1" s="8"/>
      <c r="I1" s="8"/>
    </row>
    <row r="2" spans="1:11" x14ac:dyDescent="0.25">
      <c r="A2" s="8"/>
      <c r="B2" s="8"/>
      <c r="C2" s="8"/>
      <c r="D2" s="8"/>
      <c r="E2" s="8"/>
      <c r="F2" s="8"/>
      <c r="G2" s="8"/>
      <c r="H2" s="8"/>
      <c r="I2" s="8"/>
    </row>
    <row r="3" spans="1:11" x14ac:dyDescent="0.25">
      <c r="A3" s="8"/>
      <c r="B3" s="8"/>
      <c r="C3" s="8"/>
      <c r="D3" s="8"/>
      <c r="E3" s="8"/>
      <c r="F3" s="8"/>
      <c r="G3" s="8"/>
      <c r="H3" s="8"/>
      <c r="I3" s="8"/>
    </row>
    <row r="4" spans="1:11" x14ac:dyDescent="0.25">
      <c r="A4" s="8"/>
      <c r="B4" s="8"/>
      <c r="C4" s="8"/>
      <c r="D4" s="8"/>
      <c r="E4" s="8"/>
      <c r="F4" s="8"/>
      <c r="G4" s="8"/>
      <c r="H4" s="8"/>
      <c r="I4" s="8"/>
    </row>
    <row r="5" spans="1:11" x14ac:dyDescent="0.25">
      <c r="A5" s="8"/>
      <c r="B5" s="8"/>
      <c r="C5" s="8"/>
      <c r="D5" s="8"/>
      <c r="E5" s="8"/>
      <c r="F5" s="8"/>
      <c r="G5" s="8"/>
      <c r="H5" s="8"/>
      <c r="I5" s="8"/>
    </row>
    <row r="6" spans="1:11" x14ac:dyDescent="0.25">
      <c r="A6" s="8"/>
      <c r="B6" s="8"/>
      <c r="C6" s="8"/>
      <c r="D6" s="8"/>
      <c r="E6" s="8"/>
      <c r="F6" s="8"/>
      <c r="G6" s="8"/>
      <c r="H6" s="8"/>
      <c r="I6" s="8"/>
      <c r="K6" s="9"/>
    </row>
    <row r="7" spans="1:11" x14ac:dyDescent="0.25">
      <c r="A7" s="8"/>
      <c r="B7" s="8"/>
      <c r="C7" s="8"/>
      <c r="D7" s="8"/>
      <c r="E7" s="8"/>
      <c r="F7" s="8"/>
      <c r="G7" s="8"/>
      <c r="H7" s="8"/>
      <c r="I7" s="8"/>
    </row>
    <row r="8" spans="1:11" x14ac:dyDescent="0.25">
      <c r="A8" s="8"/>
      <c r="B8" s="8"/>
      <c r="C8" s="8"/>
      <c r="D8" s="8"/>
      <c r="E8" s="8"/>
      <c r="F8" s="8"/>
      <c r="G8" s="8"/>
      <c r="H8" s="8"/>
      <c r="I8" s="8"/>
    </row>
    <row r="9" spans="1:11" x14ac:dyDescent="0.25">
      <c r="A9" s="8"/>
      <c r="B9" s="8"/>
      <c r="C9" s="8"/>
      <c r="D9" s="8"/>
      <c r="E9" s="8"/>
      <c r="F9" s="8"/>
      <c r="G9" s="8"/>
      <c r="H9" s="8"/>
      <c r="I9" s="8"/>
    </row>
    <row r="10" spans="1:11" x14ac:dyDescent="0.25">
      <c r="A10" s="8"/>
      <c r="B10" s="8"/>
      <c r="C10" s="8"/>
      <c r="D10" s="8"/>
      <c r="E10" s="8"/>
      <c r="F10" s="8"/>
      <c r="G10" s="8"/>
      <c r="H10" s="8"/>
      <c r="I10" s="8"/>
    </row>
    <row r="11" spans="1:11" x14ac:dyDescent="0.25">
      <c r="A11" s="8"/>
      <c r="B11" s="8"/>
      <c r="C11" s="8"/>
      <c r="D11" s="8"/>
      <c r="E11" s="8"/>
      <c r="F11" s="8"/>
      <c r="G11" s="8"/>
      <c r="H11" s="8"/>
      <c r="I11" s="8"/>
    </row>
    <row r="12" spans="1:11" x14ac:dyDescent="0.25">
      <c r="A12" s="8"/>
      <c r="B12" s="8"/>
      <c r="C12" s="8"/>
      <c r="D12" s="8"/>
      <c r="E12" s="8"/>
      <c r="F12" s="8"/>
      <c r="G12" s="8"/>
      <c r="H12" s="8"/>
      <c r="I12" s="8"/>
    </row>
    <row r="13" spans="1:11" x14ac:dyDescent="0.25">
      <c r="A13" s="8"/>
      <c r="B13" s="8"/>
      <c r="C13" s="8"/>
      <c r="D13" s="8"/>
      <c r="E13" s="8"/>
      <c r="F13" s="8"/>
      <c r="G13" s="8"/>
      <c r="H13" s="8"/>
      <c r="I13" s="8"/>
    </row>
    <row r="14" spans="1:11" x14ac:dyDescent="0.25">
      <c r="A14" s="8"/>
      <c r="B14" s="8"/>
      <c r="C14" s="8"/>
      <c r="D14" s="8"/>
      <c r="E14" s="8"/>
      <c r="F14" s="8"/>
      <c r="G14" s="8"/>
      <c r="H14" s="8"/>
      <c r="I14" s="8"/>
    </row>
    <row r="15" spans="1:11" x14ac:dyDescent="0.25">
      <c r="A15" s="8"/>
      <c r="B15" s="8"/>
      <c r="C15" s="8"/>
      <c r="D15" s="8"/>
      <c r="E15" s="8"/>
      <c r="F15" s="8"/>
      <c r="G15" s="8"/>
      <c r="H15" s="8"/>
      <c r="I15"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D823-A761-4A03-9A79-C690C14FF0F0}">
  <dimension ref="A1"/>
  <sheetViews>
    <sheetView workbookViewId="0"/>
  </sheetViews>
  <sheetFormatPr defaultRowHeight="15" x14ac:dyDescent="0.25"/>
  <cols>
    <col min="1" max="16384" width="9.140625" style="7"/>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842A1-C105-44ED-BB75-68CF9C9113F3}">
  <dimension ref="B17:M19"/>
  <sheetViews>
    <sheetView workbookViewId="0"/>
  </sheetViews>
  <sheetFormatPr defaultRowHeight="15" x14ac:dyDescent="0.25"/>
  <cols>
    <col min="1" max="16384" width="9.140625" style="7"/>
  </cols>
  <sheetData>
    <row r="17" spans="2:13" x14ac:dyDescent="0.25">
      <c r="B17" s="11"/>
      <c r="C17" s="11"/>
      <c r="D17" s="11"/>
      <c r="E17" s="11"/>
      <c r="F17" s="11"/>
      <c r="G17" s="11"/>
      <c r="H17" s="11"/>
      <c r="I17" s="11"/>
      <c r="J17" s="11"/>
      <c r="K17" s="11"/>
      <c r="L17" s="11"/>
      <c r="M17" s="11"/>
    </row>
    <row r="18" spans="2:13" x14ac:dyDescent="0.25">
      <c r="B18" s="11"/>
      <c r="C18" s="11"/>
      <c r="D18" s="11"/>
      <c r="E18" s="11"/>
      <c r="F18" s="11"/>
      <c r="G18" s="11"/>
      <c r="H18" s="11"/>
      <c r="I18" s="11"/>
      <c r="J18" s="11"/>
      <c r="K18" s="11"/>
      <c r="L18" s="11"/>
      <c r="M18" s="11"/>
    </row>
    <row r="19" spans="2:13" x14ac:dyDescent="0.25">
      <c r="B19" s="11"/>
      <c r="C19" s="11"/>
      <c r="D19" s="11"/>
      <c r="E19" s="11"/>
      <c r="F19" s="11"/>
      <c r="G19" s="11"/>
      <c r="H19" s="11"/>
      <c r="I19" s="11"/>
      <c r="J19" s="11"/>
      <c r="K19" s="11"/>
      <c r="L19" s="11"/>
      <c r="M19"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24CD7A2-89AC-417A-B14A-C7660224AF32}">
  <ds:schemaRefs>
    <ds:schemaRef ds:uri="http://schemas.microsoft.com/DataMashup"/>
  </ds:schemaRefs>
</ds:datastoreItem>
</file>

<file path=customXml/itemProps2.xml><?xml version="1.0" encoding="utf-8"?>
<ds:datastoreItem xmlns:ds="http://schemas.openxmlformats.org/officeDocument/2006/customXml" ds:itemID="{88B1824D-21F8-4DF1-9C60-FA374EA1B0CF}">
  <ds:schemaRefs/>
</ds:datastoreItem>
</file>

<file path=customXml/itemProps3.xml><?xml version="1.0" encoding="utf-8"?>
<ds:datastoreItem xmlns:ds="http://schemas.openxmlformats.org/officeDocument/2006/customXml" ds:itemID="{4451F820-3880-4D0F-8131-5CBC850EB3F6}">
  <ds:schemaRefs/>
</ds:datastoreItem>
</file>

<file path=customXml/itemProps4.xml><?xml version="1.0" encoding="utf-8"?>
<ds:datastoreItem xmlns:ds="http://schemas.openxmlformats.org/officeDocument/2006/customXml" ds:itemID="{0C66B95C-A2A4-4288-84E1-2424DDD995F2}">
  <ds:schemaRefs/>
</ds:datastoreItem>
</file>

<file path=customXml/itemProps5.xml><?xml version="1.0" encoding="utf-8"?>
<ds:datastoreItem xmlns:ds="http://schemas.openxmlformats.org/officeDocument/2006/customXml" ds:itemID="{A55C7AB9-DB34-40DA-932F-033F5959FBB1}">
  <ds:schemaRefs/>
</ds:datastoreItem>
</file>

<file path=customXml/itemProps6.xml><?xml version="1.0" encoding="utf-8"?>
<ds:datastoreItem xmlns:ds="http://schemas.openxmlformats.org/officeDocument/2006/customXml" ds:itemID="{2BF0D67C-4F66-4AB7-8E65-C2B0D299C1D3}">
  <ds:schemaRefs/>
</ds:datastoreItem>
</file>

<file path=customXml/itemProps7.xml><?xml version="1.0" encoding="utf-8"?>
<ds:datastoreItem xmlns:ds="http://schemas.openxmlformats.org/officeDocument/2006/customXml" ds:itemID="{80B2E7C8-A70C-4082-BD6A-55C83C2B23AA}">
  <ds:schemaRefs/>
</ds:datastoreItem>
</file>

<file path=customXml/itemProps8.xml><?xml version="1.0" encoding="utf-8"?>
<ds:datastoreItem xmlns:ds="http://schemas.openxmlformats.org/officeDocument/2006/customXml" ds:itemID="{1CC76507-01CF-413B-9E5F-A5CB33EF4CEA}">
  <ds:schemaRefs/>
</ds:datastoreItem>
</file>

<file path=customXml/itemProps9.xml><?xml version="1.0" encoding="utf-8"?>
<ds:datastoreItem xmlns:ds="http://schemas.openxmlformats.org/officeDocument/2006/customXml" ds:itemID="{3DACBE93-DC69-40B9-B67A-E68924EE267D}">
  <ds:schemaRefs/>
</ds:datastoreItem>
</file>

<file path=customXml/itemProps10.xml><?xml version="1.0" encoding="utf-8"?>
<ds:datastoreItem xmlns:ds="http://schemas.openxmlformats.org/officeDocument/2006/customXml" ds:itemID="{A727CD7D-460D-4FD4-9E5F-38D3BB58D257}">
  <ds:schemaRefs/>
</ds:datastoreItem>
</file>

<file path=customXml/itemProps11.xml><?xml version="1.0" encoding="utf-8"?>
<ds:datastoreItem xmlns:ds="http://schemas.openxmlformats.org/officeDocument/2006/customXml" ds:itemID="{194CD06B-4491-403E-BA91-BBF930F1F9F4}">
  <ds:schemaRefs/>
</ds:datastoreItem>
</file>

<file path=customXml/itemProps12.xml><?xml version="1.0" encoding="utf-8"?>
<ds:datastoreItem xmlns:ds="http://schemas.openxmlformats.org/officeDocument/2006/customXml" ds:itemID="{F4B75C22-B861-46D6-AE21-EAB75A8AD2A9}">
  <ds:schemaRefs/>
</ds:datastoreItem>
</file>

<file path=customXml/itemProps13.xml><?xml version="1.0" encoding="utf-8"?>
<ds:datastoreItem xmlns:ds="http://schemas.openxmlformats.org/officeDocument/2006/customXml" ds:itemID="{6CCDB088-9558-411B-B2F2-FA631CB58FC7}">
  <ds:schemaRefs/>
</ds:datastoreItem>
</file>

<file path=customXml/itemProps14.xml><?xml version="1.0" encoding="utf-8"?>
<ds:datastoreItem xmlns:ds="http://schemas.openxmlformats.org/officeDocument/2006/customXml" ds:itemID="{6829FB46-A341-4055-B676-48BDA2B377C2}">
  <ds:schemaRefs/>
</ds:datastoreItem>
</file>

<file path=customXml/itemProps15.xml><?xml version="1.0" encoding="utf-8"?>
<ds:datastoreItem xmlns:ds="http://schemas.openxmlformats.org/officeDocument/2006/customXml" ds:itemID="{B35AEF3D-7AE2-41B2-B27F-606126C2FBA7}">
  <ds:schemaRefs/>
</ds:datastoreItem>
</file>

<file path=customXml/itemProps16.xml><?xml version="1.0" encoding="utf-8"?>
<ds:datastoreItem xmlns:ds="http://schemas.openxmlformats.org/officeDocument/2006/customXml" ds:itemID="{46847D18-85F9-4058-B495-18D863F75725}">
  <ds:schemaRefs/>
</ds:datastoreItem>
</file>

<file path=customXml/itemProps17.xml><?xml version="1.0" encoding="utf-8"?>
<ds:datastoreItem xmlns:ds="http://schemas.openxmlformats.org/officeDocument/2006/customXml" ds:itemID="{C9B58BC2-D721-494C-B185-B94DFF0FE91D}">
  <ds:schemaRefs/>
</ds:datastoreItem>
</file>

<file path=customXml/itemProps18.xml><?xml version="1.0" encoding="utf-8"?>
<ds:datastoreItem xmlns:ds="http://schemas.openxmlformats.org/officeDocument/2006/customXml" ds:itemID="{296B307B-9099-45CC-9E9A-136465B93D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Daily ER Patient Waittime</vt:lpstr>
      <vt:lpstr>Daily ER Patient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2025-11-13T08:16:39Z</dcterms:created>
  <dcterms:modified xsi:type="dcterms:W3CDTF">2025-11-22T11:22:54Z</dcterms:modified>
</cp:coreProperties>
</file>